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Tugas Akhir (TA)\Pengujian\"/>
    </mc:Choice>
  </mc:AlternateContent>
  <xr:revisionPtr revIDLastSave="0" documentId="13_ncr:1_{A3CDB7DF-BFB4-456C-BDFB-92A4B6370BD5}" xr6:coauthVersionLast="47" xr6:coauthVersionMax="47" xr10:uidLastSave="{00000000-0000-0000-0000-000000000000}"/>
  <bookViews>
    <workbookView xWindow="-108" yWindow="-108" windowWidth="23256" windowHeight="12456" activeTab="3" xr2:uid="{1BE0A5AD-44EC-48CA-B273-E574D5A2DCB0}"/>
  </bookViews>
  <sheets>
    <sheet name="Kalibrasi Sistem" sheetId="1" r:id="rId1"/>
    <sheet name="Komunikasi Lora" sheetId="2" r:id="rId2"/>
    <sheet name="Efek Fisis" sheetId="3" r:id="rId3"/>
    <sheet name="Sumber Hila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9" i="3" l="1"/>
  <c r="F18" i="3"/>
  <c r="E19" i="3"/>
  <c r="E18" i="3"/>
  <c r="D19" i="3"/>
  <c r="D18" i="3"/>
  <c r="C19" i="3"/>
  <c r="C18" i="3"/>
  <c r="E117" i="1"/>
  <c r="E114" i="1"/>
  <c r="H104" i="1"/>
  <c r="G104" i="1"/>
  <c r="F104" i="1"/>
  <c r="C105" i="1"/>
  <c r="C106" i="1"/>
  <c r="C107" i="1"/>
  <c r="C108" i="1"/>
  <c r="C109" i="1"/>
  <c r="C104" i="1"/>
  <c r="B105" i="1"/>
  <c r="B106" i="1"/>
  <c r="B107" i="1"/>
  <c r="B108" i="1"/>
  <c r="B109" i="1"/>
  <c r="B104" i="1"/>
  <c r="E87" i="1"/>
  <c r="C88" i="1"/>
  <c r="C89" i="1"/>
  <c r="C90" i="1"/>
  <c r="C91" i="1"/>
  <c r="C92" i="1"/>
  <c r="C87" i="1"/>
  <c r="B88" i="1"/>
  <c r="B89" i="1"/>
  <c r="B90" i="1"/>
  <c r="B91" i="1"/>
  <c r="B92" i="1"/>
  <c r="B87" i="1"/>
  <c r="C82" i="1"/>
  <c r="C81" i="1"/>
  <c r="C79" i="1"/>
  <c r="C78" i="1"/>
  <c r="C77" i="1"/>
  <c r="C76" i="1"/>
  <c r="C75" i="1"/>
  <c r="A67" i="1" a="1"/>
  <c r="A67" i="1" s="1"/>
  <c r="G41" i="1"/>
  <c r="I106" i="1"/>
  <c r="G105" i="1"/>
  <c r="H105" i="1" s="1"/>
  <c r="G106" i="1"/>
  <c r="H106" i="1" s="1"/>
  <c r="G107" i="1"/>
  <c r="I107" i="1" s="1"/>
  <c r="G108" i="1"/>
  <c r="H108" i="1" s="1"/>
  <c r="F105" i="1"/>
  <c r="F106" i="1"/>
  <c r="F107" i="1"/>
  <c r="F108" i="1"/>
  <c r="F109" i="1"/>
  <c r="G109" i="1" s="1"/>
  <c r="D88" i="1"/>
  <c r="E88" i="1" s="1"/>
  <c r="F88" i="1" s="1"/>
  <c r="D89" i="1"/>
  <c r="E89" i="1" s="1"/>
  <c r="F89" i="1" s="1"/>
  <c r="D90" i="1"/>
  <c r="D91" i="1"/>
  <c r="E91" i="1" s="1"/>
  <c r="F91" i="1" s="1"/>
  <c r="D92" i="1"/>
  <c r="E92" i="1" s="1"/>
  <c r="F92" i="1" s="1"/>
  <c r="D87" i="1"/>
  <c r="F87" i="1" s="1"/>
  <c r="C80" i="1"/>
  <c r="H46" i="1"/>
  <c r="H43" i="1"/>
  <c r="G42" i="1"/>
  <c r="G43" i="1"/>
  <c r="G44" i="1"/>
  <c r="G45" i="1"/>
  <c r="G46" i="1"/>
  <c r="F42" i="1"/>
  <c r="F43" i="1"/>
  <c r="F44" i="1"/>
  <c r="F45" i="1"/>
  <c r="F46" i="1"/>
  <c r="F41" i="1"/>
  <c r="E46" i="1"/>
  <c r="E45" i="1"/>
  <c r="E44" i="1"/>
  <c r="E43" i="1"/>
  <c r="E42" i="1"/>
  <c r="E41" i="1"/>
  <c r="D42" i="1"/>
  <c r="D43" i="1"/>
  <c r="D44" i="1"/>
  <c r="D45" i="1"/>
  <c r="D46" i="1"/>
  <c r="D41" i="1"/>
  <c r="C42" i="1"/>
  <c r="C43" i="1"/>
  <c r="C44" i="1"/>
  <c r="C45" i="1"/>
  <c r="C46" i="1"/>
  <c r="C41" i="1"/>
  <c r="B46" i="1"/>
  <c r="B45" i="1"/>
  <c r="B44" i="1"/>
  <c r="B43" i="1"/>
  <c r="B42" i="1"/>
  <c r="B41" i="1"/>
  <c r="E8" i="1"/>
  <c r="E9" i="1"/>
  <c r="E10" i="1"/>
  <c r="E11" i="1"/>
  <c r="E12" i="1"/>
  <c r="E13" i="1"/>
  <c r="E14" i="1"/>
  <c r="E15" i="1"/>
  <c r="H42" i="1" s="1"/>
  <c r="E16" i="1"/>
  <c r="E17" i="1"/>
  <c r="E18" i="1"/>
  <c r="E19" i="1"/>
  <c r="E20" i="1"/>
  <c r="E21" i="1"/>
  <c r="E22" i="1"/>
  <c r="E23" i="1"/>
  <c r="H44" i="1" s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7" i="1"/>
  <c r="H41" i="1" s="1"/>
  <c r="F31" i="2"/>
  <c r="D49" i="2"/>
  <c r="F49" i="2" s="1"/>
  <c r="D31" i="2"/>
  <c r="D32" i="2"/>
  <c r="F32" i="2" s="1"/>
  <c r="D33" i="2"/>
  <c r="F33" i="2" s="1"/>
  <c r="D34" i="2"/>
  <c r="F34" i="2" s="1"/>
  <c r="D35" i="2"/>
  <c r="F35" i="2" s="1"/>
  <c r="D36" i="2"/>
  <c r="F36" i="2" s="1"/>
  <c r="D37" i="2"/>
  <c r="F37" i="2" s="1"/>
  <c r="D38" i="2"/>
  <c r="F38" i="2" s="1"/>
  <c r="D39" i="2"/>
  <c r="F39" i="2" s="1"/>
  <c r="D40" i="2"/>
  <c r="F40" i="2" s="1"/>
  <c r="D41" i="2"/>
  <c r="F41" i="2" s="1"/>
  <c r="D42" i="2"/>
  <c r="F42" i="2" s="1"/>
  <c r="D43" i="2"/>
  <c r="F43" i="2" s="1"/>
  <c r="D44" i="2"/>
  <c r="F44" i="2" s="1"/>
  <c r="D45" i="2"/>
  <c r="F45" i="2" s="1"/>
  <c r="D46" i="2"/>
  <c r="F46" i="2" s="1"/>
  <c r="D47" i="2"/>
  <c r="F47" i="2" s="1"/>
  <c r="D48" i="2"/>
  <c r="F48" i="2" s="1"/>
  <c r="D30" i="2"/>
  <c r="F30" i="2" s="1"/>
  <c r="H109" i="1" l="1"/>
  <c r="I109" i="1"/>
  <c r="I108" i="1"/>
  <c r="I105" i="1"/>
  <c r="H107" i="1"/>
  <c r="I104" i="1"/>
  <c r="E118" i="1"/>
  <c r="E90" i="1"/>
  <c r="F90" i="1" s="1"/>
  <c r="H4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<sst xmlns="http://schemas.openxmlformats.org/spreadsheetml/2006/main" count="201" uniqueCount="127">
  <si>
    <t>Jarak (cm)</t>
  </si>
  <si>
    <t>Ulangan</t>
  </si>
  <si>
    <t>CPM Bruto</t>
  </si>
  <si>
    <t>Background</t>
  </si>
  <si>
    <t>CPM Bruto Rata-rata</t>
  </si>
  <si>
    <t>CPM Netto</t>
  </si>
  <si>
    <t>H_estimasi (µSv/h)</t>
  </si>
  <si>
    <t>Deviasi Relatif δ (%)</t>
  </si>
  <si>
    <t>Sesi</t>
  </si>
  <si>
    <t>Jarak</t>
  </si>
  <si>
    <t>Paket Diterima</t>
  </si>
  <si>
    <t>PSR</t>
  </si>
  <si>
    <t>RSSI Rata-rata</t>
  </si>
  <si>
    <t>Std. Dev RSSI</t>
  </si>
  <si>
    <t>SNR Rata-rata</t>
  </si>
  <si>
    <t>Std. Dev SNR</t>
  </si>
  <si>
    <t>Latency Rata-rata</t>
  </si>
  <si>
    <t>Jarak (m)</t>
  </si>
  <si>
    <t>p̂ (PSR)</t>
  </si>
  <si>
    <t>n</t>
  </si>
  <si>
    <t>z hitung</t>
  </si>
  <si>
    <t>z kritis (α=0,05)</t>
  </si>
  <si>
    <t>Kesimpulan</t>
  </si>
  <si>
    <t>Ketinggian</t>
  </si>
  <si>
    <t>Kondisi</t>
  </si>
  <si>
    <t>CPM</t>
  </si>
  <si>
    <t>RSSI (dBm)</t>
  </si>
  <si>
    <t>SNR (dB)</t>
  </si>
  <si>
    <t>mati</t>
  </si>
  <si>
    <t>hover</t>
  </si>
  <si>
    <t>CPM Rata-rata</t>
  </si>
  <si>
    <t>Std. Dev CPM</t>
  </si>
  <si>
    <t>Parameter</t>
  </si>
  <si>
    <t>df</t>
  </si>
  <si>
    <t>Titik Grid</t>
  </si>
  <si>
    <t>Lat</t>
  </si>
  <si>
    <t>Lon</t>
  </si>
  <si>
    <t>Run 1 CPM</t>
  </si>
  <si>
    <t>µSv/h</t>
  </si>
  <si>
    <t>Nilai</t>
  </si>
  <si>
    <t>Titik CPM Tertinggi (koordinat grid)</t>
  </si>
  <si>
    <t>...</t>
  </si>
  <si>
    <t>CPM Tertinggi</t>
  </si>
  <si>
    <t>µSv/h Tertinggi</t>
  </si>
  <si>
    <t>Estimasi Sistem Benar?</t>
  </si>
  <si>
    <t>Ya / Tidak (titik sama atau bertetangga)</t>
  </si>
  <si>
    <t>H₀ Ditolak (PSR &gt; 90%)</t>
  </si>
  <si>
    <t>Gagal Tolak H₀</t>
  </si>
  <si>
    <t>H_ref_terbaca (uSv/h)</t>
  </si>
  <si>
    <t xml:space="preserve"> </t>
  </si>
  <si>
    <t>H_ref_terkoreksi (µSv/h)</t>
  </si>
  <si>
    <t>CPM Background</t>
  </si>
  <si>
    <t>Std. Dev (s)</t>
  </si>
  <si>
    <t>u_A (CPM)</t>
  </si>
  <si>
    <t>u_A_rel (%)</t>
  </si>
  <si>
    <t>Simbol</t>
  </si>
  <si>
    <t>Rumus / Nilai</t>
  </si>
  <si>
    <t>Slope — faktor konversi empiris</t>
  </si>
  <si>
    <t>m</t>
  </si>
  <si>
    <r>
      <t xml:space="preserve">Output LINEST baris 1 kolom 1 — satuan </t>
    </r>
    <r>
      <rPr>
        <b/>
        <sz val="11"/>
        <color theme="1"/>
        <rFont val="Calibri"/>
        <family val="2"/>
        <scheme val="minor"/>
      </rPr>
      <t>µSv/h per CPM</t>
    </r>
  </si>
  <si>
    <t>Intercept</t>
  </si>
  <si>
    <t>b</t>
  </si>
  <si>
    <r>
      <t xml:space="preserve">Output LINEST baris 1 kolom 2 — satuan </t>
    </r>
    <r>
      <rPr>
        <b/>
        <sz val="11"/>
        <color theme="1"/>
        <rFont val="Calibri"/>
        <family val="2"/>
        <scheme val="minor"/>
      </rPr>
      <t>µSv/h</t>
    </r>
  </si>
  <si>
    <t>Standard error slope</t>
  </si>
  <si>
    <t>SE_m</t>
  </si>
  <si>
    <t>Output LINEST baris 2 kolom 1</t>
  </si>
  <si>
    <t>Standard error intercept</t>
  </si>
  <si>
    <t>SE_b</t>
  </si>
  <si>
    <t>Output LINEST baris 2 kolom 2</t>
  </si>
  <si>
    <t>Koefisien determinasi</t>
  </si>
  <si>
    <t>R²</t>
  </si>
  <si>
    <t>Output LINEST baris 3 kolom 1</t>
  </si>
  <si>
    <t>t kritis (df = 4, α = 0,05)</t>
  </si>
  <si>
    <t>t_kritis</t>
  </si>
  <si>
    <r>
      <t>= T.INV.2T(0.05, 4)</t>
    </r>
    <r>
      <rPr>
        <sz val="11"/>
        <color theme="1"/>
        <rFont val="Calibri"/>
        <family val="2"/>
        <scheme val="minor"/>
      </rPr>
      <t xml:space="preserve"> = 2,776</t>
    </r>
  </si>
  <si>
    <t>Batas bawah m (95%)</t>
  </si>
  <si>
    <t>m_low</t>
  </si>
  <si>
    <t>Batas atas m (95%)</t>
  </si>
  <si>
    <t>m_high</t>
  </si>
  <si>
    <t>Keterangan</t>
  </si>
  <si>
    <t>Komponen</t>
  </si>
  <si>
    <t>Sumber</t>
  </si>
  <si>
    <t>a (%)</t>
  </si>
  <si>
    <t>Distribusi</t>
  </si>
  <si>
    <t>u_B (%)</t>
  </si>
  <si>
    <t>u_B_ref</t>
  </si>
  <si>
    <t>Batas toleransi kesalahan inheren instrumen referensi ±15% (datasheet)</t>
  </si>
  <si>
    <t>Segiempat</t>
  </si>
  <si>
    <r>
      <t xml:space="preserve">15/√3 = </t>
    </r>
    <r>
      <rPr>
        <b/>
        <sz val="11"/>
        <color theme="1"/>
        <rFont val="Calibri"/>
        <family val="2"/>
        <scheme val="minor"/>
      </rPr>
      <t>8,66</t>
    </r>
  </si>
  <si>
    <t>u_B_faktor</t>
  </si>
  <si>
    <t>Resolusi faktor kalibrasi sertifikat (±0,01 pada nilai 0,97)</t>
  </si>
  <si>
    <r>
      <t xml:space="preserve">1,03/√3 = </t>
    </r>
    <r>
      <rPr>
        <b/>
        <sz val="11"/>
        <color theme="1"/>
        <rFont val="Calibri"/>
        <family val="2"/>
        <scheme val="minor"/>
      </rPr>
      <t>0,59</t>
    </r>
  </si>
  <si>
    <t>u_B_ref (%)</t>
  </si>
  <si>
    <t>u_B_faktor (%)</t>
  </si>
  <si>
    <t>u_c_rel (%)</t>
  </si>
  <si>
    <t>U_rel (%)</t>
  </si>
  <si>
    <t>U_abs (µSv/h)</t>
  </si>
  <si>
    <t>U_abs_CPM</t>
  </si>
  <si>
    <t>Sumber Ketidakpastian</t>
  </si>
  <si>
    <t>Tipe</t>
  </si>
  <si>
    <t>Nilai (%)</t>
  </si>
  <si>
    <t>Variasi statistik CPM (rata-rata u_A_rel dari 6 titik)</t>
  </si>
  <si>
    <t>u_A</t>
  </si>
  <si>
    <t>A</t>
  </si>
  <si>
    <t>Normal</t>
  </si>
  <si>
    <t>Kesalahan inheren instrumen referensi</t>
  </si>
  <si>
    <t>B</t>
  </si>
  <si>
    <t>Ketidakpastian faktor kalibrasi referensi</t>
  </si>
  <si>
    <t>Ketidakpastian gabungan</t>
  </si>
  <si>
    <t>u_c</t>
  </si>
  <si>
    <t>—</t>
  </si>
  <si>
    <t>Ketidakpastian diperluas (k=2, ~95%)</t>
  </si>
  <si>
    <t>U</t>
  </si>
  <si>
    <t>= m + 2.776 * SE_m</t>
  </si>
  <si>
    <t>= m - 2.776 * SE_m</t>
  </si>
  <si>
    <t>t-Test: Two-Sample Assuming Equal Variances</t>
  </si>
  <si>
    <t>Mean</t>
  </si>
  <si>
    <t>Variance</t>
  </si>
  <si>
    <t>Observations</t>
  </si>
  <si>
    <t>Pooled Variance</t>
  </si>
  <si>
    <t>Hypothesized Mean Difference</t>
  </si>
  <si>
    <t>t Stat</t>
  </si>
  <si>
    <t>P(T&lt;=t) one-tail</t>
  </si>
  <si>
    <t>t Critical one-tail</t>
  </si>
  <si>
    <t>P(T&lt;=t) two-tail</t>
  </si>
  <si>
    <t>t Critical two-tail</t>
  </si>
  <si>
    <t>Posisi Aktual Sumber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</si>
</sst>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 Unicode MS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2" fontId="3" fillId="0" borderId="1" xfId="1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4" fillId="0" borderId="0" xfId="0" quotePrefix="1" applyFont="1" applyAlignment="1">
      <alignment vertical="center" wrapText="1"/>
    </xf>
    <xf numFmtId="0" fontId="0" fillId="0" borderId="2" xfId="0" applyBorder="1"/>
    <xf numFmtId="0" fontId="5" fillId="0" borderId="3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9386981885819367"/>
                  <c:y val="-6.277426771979535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Times New Roman" panose="02020603050405020304" pitchFamily="18" charset="0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x"/>
            <c:errBarType val="both"/>
            <c:errValType val="cust"/>
            <c:noEndCap val="0"/>
            <c:plus>
              <c:numRef>
                <c:f>'Kalibrasi Sistem'!$I$104:$I$109</c:f>
                <c:numCache>
                  <c:formatCode>General</c:formatCode>
                  <c:ptCount val="6"/>
                  <c:pt idx="0">
                    <c:v>89.472489669385354</c:v>
                  </c:pt>
                  <c:pt idx="1">
                    <c:v>29.715383382923264</c:v>
                  </c:pt>
                  <c:pt idx="2">
                    <c:v>14.05636989899625</c:v>
                  </c:pt>
                  <c:pt idx="3">
                    <c:v>11.853284736394667</c:v>
                  </c:pt>
                  <c:pt idx="4">
                    <c:v>10.508856771162122</c:v>
                  </c:pt>
                  <c:pt idx="5">
                    <c:v>4.3652107559511943</c:v>
                  </c:pt>
                </c:numCache>
              </c:numRef>
            </c:plus>
            <c:minus>
              <c:numRef>
                <c:f>'Kalibrasi Sistem'!$I$104:$I$109</c:f>
                <c:numCache>
                  <c:formatCode>General</c:formatCode>
                  <c:ptCount val="6"/>
                  <c:pt idx="0">
                    <c:v>89.472489669385354</c:v>
                  </c:pt>
                  <c:pt idx="1">
                    <c:v>29.715383382923264</c:v>
                  </c:pt>
                  <c:pt idx="2">
                    <c:v>14.05636989899625</c:v>
                  </c:pt>
                  <c:pt idx="3">
                    <c:v>11.853284736394667</c:v>
                  </c:pt>
                  <c:pt idx="4">
                    <c:v>10.508856771162122</c:v>
                  </c:pt>
                  <c:pt idx="5">
                    <c:v>4.3652107559511943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'Kalibrasi Sistem'!$H$104:$H$109</c:f>
                <c:numCache>
                  <c:formatCode>General</c:formatCode>
                  <c:ptCount val="6"/>
                  <c:pt idx="0">
                    <c:v>0.27319002079752913</c:v>
                  </c:pt>
                  <c:pt idx="1">
                    <c:v>0.107976118242942</c:v>
                  </c:pt>
                  <c:pt idx="2">
                    <c:v>6.1976698996168783E-2</c:v>
                  </c:pt>
                  <c:pt idx="3">
                    <c:v>6.7425618931799089E-2</c:v>
                  </c:pt>
                  <c:pt idx="4">
                    <c:v>6.1422613671297074E-2</c:v>
                  </c:pt>
                  <c:pt idx="5">
                    <c:v>3.8561989907750359E-2</c:v>
                  </c:pt>
                </c:numCache>
              </c:numRef>
            </c:plus>
            <c:minus>
              <c:numRef>
                <c:f>'Kalibrasi Sistem'!$H$104:$H$109</c:f>
                <c:numCache>
                  <c:formatCode>General</c:formatCode>
                  <c:ptCount val="6"/>
                  <c:pt idx="0">
                    <c:v>0.27319002079752913</c:v>
                  </c:pt>
                  <c:pt idx="1">
                    <c:v>0.107976118242942</c:v>
                  </c:pt>
                  <c:pt idx="2">
                    <c:v>6.1976698996168783E-2</c:v>
                  </c:pt>
                  <c:pt idx="3">
                    <c:v>6.7425618931799089E-2</c:v>
                  </c:pt>
                  <c:pt idx="4">
                    <c:v>6.1422613671297074E-2</c:v>
                  </c:pt>
                  <c:pt idx="5">
                    <c:v>3.8561989907750359E-2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'Kalibrasi Sistem'!$D$41:$D$46</c:f>
              <c:numCache>
                <c:formatCode>General</c:formatCode>
                <c:ptCount val="6"/>
                <c:pt idx="0">
                  <c:v>511.91999999999996</c:v>
                </c:pt>
                <c:pt idx="1">
                  <c:v>147.12</c:v>
                </c:pt>
                <c:pt idx="2">
                  <c:v>75.359999999999985</c:v>
                </c:pt>
                <c:pt idx="3">
                  <c:v>41.76</c:v>
                </c:pt>
                <c:pt idx="4">
                  <c:v>39.6</c:v>
                </c:pt>
                <c:pt idx="5">
                  <c:v>19.919999999999995</c:v>
                </c:pt>
              </c:numCache>
            </c:numRef>
          </c:xVal>
          <c:yVal>
            <c:numRef>
              <c:f>'Kalibrasi Sistem'!$H$41:$H$46</c:f>
              <c:numCache>
                <c:formatCode>General</c:formatCode>
                <c:ptCount val="6"/>
                <c:pt idx="0">
                  <c:v>1.55782</c:v>
                </c:pt>
                <c:pt idx="1">
                  <c:v>0.55483999999999989</c:v>
                </c:pt>
                <c:pt idx="2">
                  <c:v>0.33949999999999997</c:v>
                </c:pt>
                <c:pt idx="3">
                  <c:v>0.24443999999999999</c:v>
                </c:pt>
                <c:pt idx="4">
                  <c:v>0.20369999999999999</c:v>
                </c:pt>
                <c:pt idx="5">
                  <c:v>0.17459999999999998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E08-40DD-91E0-10FCAE6991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9037679"/>
        <c:axId val="1499746959"/>
      </c:scatterChart>
      <c:valAx>
        <c:axId val="1509037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r>
                  <a:rPr lang="en-ID"/>
                  <a:t>CPM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1499746959"/>
        <c:crosses val="autoZero"/>
        <c:crossBetween val="midCat"/>
      </c:valAx>
      <c:valAx>
        <c:axId val="1499746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r>
                  <a:rPr lang="en-ID"/>
                  <a:t>µSv/h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15090376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aseline="0">
          <a:latin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'Komunikasi Lora'!$B$2:$B$21</c:f>
              <c:numCache>
                <c:formatCode>General</c:formatCode>
                <c:ptCount val="2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  <c:pt idx="10">
                  <c:v>275</c:v>
                </c:pt>
                <c:pt idx="11">
                  <c:v>300</c:v>
                </c:pt>
                <c:pt idx="12">
                  <c:v>325</c:v>
                </c:pt>
                <c:pt idx="13">
                  <c:v>350</c:v>
                </c:pt>
                <c:pt idx="14">
                  <c:v>375</c:v>
                </c:pt>
                <c:pt idx="15">
                  <c:v>400</c:v>
                </c:pt>
                <c:pt idx="16">
                  <c:v>425</c:v>
                </c:pt>
                <c:pt idx="17">
                  <c:v>450</c:v>
                </c:pt>
                <c:pt idx="18">
                  <c:v>475</c:v>
                </c:pt>
                <c:pt idx="19">
                  <c:v>500</c:v>
                </c:pt>
              </c:numCache>
            </c:numRef>
          </c:xVal>
          <c:yVal>
            <c:numRef>
              <c:f>'Komunikasi Lora'!$E$2:$E$21</c:f>
              <c:numCache>
                <c:formatCode>0.00</c:formatCode>
                <c:ptCount val="2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99</c:v>
                </c:pt>
                <c:pt idx="5">
                  <c:v>99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95</c:v>
                </c:pt>
                <c:pt idx="10">
                  <c:v>93</c:v>
                </c:pt>
                <c:pt idx="11">
                  <c:v>100</c:v>
                </c:pt>
                <c:pt idx="12">
                  <c:v>84</c:v>
                </c:pt>
                <c:pt idx="13">
                  <c:v>100</c:v>
                </c:pt>
                <c:pt idx="14">
                  <c:v>100</c:v>
                </c:pt>
                <c:pt idx="15">
                  <c:v>93</c:v>
                </c:pt>
                <c:pt idx="16">
                  <c:v>91</c:v>
                </c:pt>
                <c:pt idx="17">
                  <c:v>100</c:v>
                </c:pt>
                <c:pt idx="18">
                  <c:v>94</c:v>
                </c:pt>
                <c:pt idx="19">
                  <c:v>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2C6-4F80-8568-54D7D3C671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2516000"/>
        <c:axId val="1252510720"/>
      </c:scatterChart>
      <c:valAx>
        <c:axId val="1252516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2510720"/>
        <c:crosses val="autoZero"/>
        <c:crossBetween val="midCat"/>
      </c:valAx>
      <c:valAx>
        <c:axId val="1252510720"/>
        <c:scaling>
          <c:orientation val="minMax"/>
          <c:min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2516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RSSI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'Komunikasi Lora'!$B$2:$B$21</c:f>
              <c:numCache>
                <c:formatCode>General</c:formatCode>
                <c:ptCount val="2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  <c:pt idx="10">
                  <c:v>275</c:v>
                </c:pt>
                <c:pt idx="11">
                  <c:v>300</c:v>
                </c:pt>
                <c:pt idx="12">
                  <c:v>325</c:v>
                </c:pt>
                <c:pt idx="13">
                  <c:v>350</c:v>
                </c:pt>
                <c:pt idx="14">
                  <c:v>375</c:v>
                </c:pt>
                <c:pt idx="15">
                  <c:v>400</c:v>
                </c:pt>
                <c:pt idx="16">
                  <c:v>425</c:v>
                </c:pt>
                <c:pt idx="17">
                  <c:v>450</c:v>
                </c:pt>
                <c:pt idx="18">
                  <c:v>475</c:v>
                </c:pt>
                <c:pt idx="19">
                  <c:v>500</c:v>
                </c:pt>
              </c:numCache>
            </c:numRef>
          </c:xVal>
          <c:yVal>
            <c:numRef>
              <c:f>'Komunikasi Lora'!$F$2:$F$21</c:f>
              <c:numCache>
                <c:formatCode>0.00</c:formatCode>
                <c:ptCount val="20"/>
                <c:pt idx="0">
                  <c:v>-92.08</c:v>
                </c:pt>
                <c:pt idx="1">
                  <c:v>-90.66</c:v>
                </c:pt>
                <c:pt idx="2">
                  <c:v>-95.42</c:v>
                </c:pt>
                <c:pt idx="3">
                  <c:v>-97.36</c:v>
                </c:pt>
                <c:pt idx="4">
                  <c:v>-97.4</c:v>
                </c:pt>
                <c:pt idx="5">
                  <c:v>-98.54</c:v>
                </c:pt>
                <c:pt idx="6">
                  <c:v>-98.79</c:v>
                </c:pt>
                <c:pt idx="7">
                  <c:v>-97.6</c:v>
                </c:pt>
                <c:pt idx="8">
                  <c:v>-98</c:v>
                </c:pt>
                <c:pt idx="9">
                  <c:v>-97.5</c:v>
                </c:pt>
                <c:pt idx="10">
                  <c:v>-99.82</c:v>
                </c:pt>
                <c:pt idx="11">
                  <c:v>-101.12</c:v>
                </c:pt>
                <c:pt idx="12">
                  <c:v>-101.21</c:v>
                </c:pt>
                <c:pt idx="13">
                  <c:v>-102.43</c:v>
                </c:pt>
                <c:pt idx="14">
                  <c:v>-101.91</c:v>
                </c:pt>
                <c:pt idx="15">
                  <c:v>-102.51</c:v>
                </c:pt>
                <c:pt idx="16">
                  <c:v>-100.67</c:v>
                </c:pt>
                <c:pt idx="17">
                  <c:v>-100.83</c:v>
                </c:pt>
                <c:pt idx="18">
                  <c:v>-102.04</c:v>
                </c:pt>
                <c:pt idx="19">
                  <c:v>-101.05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183-49E2-AD61-301F454A04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2527040"/>
        <c:axId val="1252529440"/>
      </c:scatterChart>
      <c:scatterChart>
        <c:scatterStyle val="smoothMarker"/>
        <c:varyColors val="0"/>
        <c:ser>
          <c:idx val="1"/>
          <c:order val="1"/>
          <c:tx>
            <c:v>SNR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'Komunikasi Lora'!$B$2:$B$21</c:f>
              <c:numCache>
                <c:formatCode>General</c:formatCode>
                <c:ptCount val="2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  <c:pt idx="10">
                  <c:v>275</c:v>
                </c:pt>
                <c:pt idx="11">
                  <c:v>300</c:v>
                </c:pt>
                <c:pt idx="12">
                  <c:v>325</c:v>
                </c:pt>
                <c:pt idx="13">
                  <c:v>350</c:v>
                </c:pt>
                <c:pt idx="14">
                  <c:v>375</c:v>
                </c:pt>
                <c:pt idx="15">
                  <c:v>400</c:v>
                </c:pt>
                <c:pt idx="16">
                  <c:v>425</c:v>
                </c:pt>
                <c:pt idx="17">
                  <c:v>450</c:v>
                </c:pt>
                <c:pt idx="18">
                  <c:v>475</c:v>
                </c:pt>
                <c:pt idx="19">
                  <c:v>500</c:v>
                </c:pt>
              </c:numCache>
            </c:numRef>
          </c:xVal>
          <c:yVal>
            <c:numRef>
              <c:f>'Komunikasi Lora'!$H$2:$H$21</c:f>
              <c:numCache>
                <c:formatCode>General</c:formatCode>
                <c:ptCount val="20"/>
                <c:pt idx="0">
                  <c:v>4.5199999999999996</c:v>
                </c:pt>
                <c:pt idx="1">
                  <c:v>5.83</c:v>
                </c:pt>
                <c:pt idx="2">
                  <c:v>-0.08</c:v>
                </c:pt>
                <c:pt idx="3">
                  <c:v>-5.77</c:v>
                </c:pt>
                <c:pt idx="4">
                  <c:v>-7.15</c:v>
                </c:pt>
                <c:pt idx="5">
                  <c:v>-6.09</c:v>
                </c:pt>
                <c:pt idx="6">
                  <c:v>-7.54</c:v>
                </c:pt>
                <c:pt idx="7">
                  <c:v>-11.49</c:v>
                </c:pt>
                <c:pt idx="8">
                  <c:v>-12.16</c:v>
                </c:pt>
                <c:pt idx="9">
                  <c:v>-14.08</c:v>
                </c:pt>
                <c:pt idx="10">
                  <c:v>-12.6</c:v>
                </c:pt>
                <c:pt idx="11">
                  <c:v>-9.08</c:v>
                </c:pt>
                <c:pt idx="12">
                  <c:v>-13.21</c:v>
                </c:pt>
                <c:pt idx="13">
                  <c:v>-10.16</c:v>
                </c:pt>
                <c:pt idx="14">
                  <c:v>-10.74</c:v>
                </c:pt>
                <c:pt idx="15">
                  <c:v>-14.41</c:v>
                </c:pt>
                <c:pt idx="16">
                  <c:v>-14.82</c:v>
                </c:pt>
                <c:pt idx="17">
                  <c:v>-12.69</c:v>
                </c:pt>
                <c:pt idx="18">
                  <c:v>-14.26</c:v>
                </c:pt>
                <c:pt idx="19">
                  <c:v>-16.420000000000002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183-49E2-AD61-301F454A04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2488640"/>
        <c:axId val="1252481920"/>
      </c:scatterChart>
      <c:valAx>
        <c:axId val="1252527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2529440"/>
        <c:crosses val="autoZero"/>
        <c:crossBetween val="midCat"/>
      </c:valAx>
      <c:valAx>
        <c:axId val="125252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70C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2527040"/>
        <c:crosses val="autoZero"/>
        <c:crossBetween val="midCat"/>
      </c:valAx>
      <c:valAx>
        <c:axId val="125248192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accent2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2488640"/>
        <c:crosses val="max"/>
        <c:crossBetween val="midCat"/>
      </c:valAx>
      <c:valAx>
        <c:axId val="12524886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52481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'Komunikasi Lora'!$B$71:$B$80</c:f>
              <c:numCache>
                <c:formatCode>General</c:formatCode>
                <c:ptCount val="10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  <c:pt idx="6">
                  <c:v>350</c:v>
                </c:pt>
                <c:pt idx="7">
                  <c:v>400</c:v>
                </c:pt>
                <c:pt idx="8">
                  <c:v>450</c:v>
                </c:pt>
                <c:pt idx="9">
                  <c:v>500</c:v>
                </c:pt>
              </c:numCache>
            </c:numRef>
          </c:xVal>
          <c:yVal>
            <c:numRef>
              <c:f>'Komunikasi Lora'!$E$71:$E$80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99</c:v>
                </c:pt>
                <c:pt idx="3">
                  <c:v>100</c:v>
                </c:pt>
                <c:pt idx="4">
                  <c:v>95</c:v>
                </c:pt>
                <c:pt idx="5">
                  <c:v>100</c:v>
                </c:pt>
                <c:pt idx="6">
                  <c:v>100</c:v>
                </c:pt>
                <c:pt idx="7">
                  <c:v>93</c:v>
                </c:pt>
                <c:pt idx="8">
                  <c:v>100</c:v>
                </c:pt>
                <c:pt idx="9">
                  <c:v>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38-4C32-96C6-3604313AF2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8553856"/>
        <c:axId val="2020796016"/>
      </c:scatterChart>
      <c:valAx>
        <c:axId val="2088553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0796016"/>
        <c:crosses val="autoZero"/>
        <c:crossBetween val="midCat"/>
      </c:valAx>
      <c:valAx>
        <c:axId val="2020796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553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383256</xdr:colOff>
      <xdr:row>47</xdr:row>
      <xdr:rowOff>163285</xdr:rowOff>
    </xdr:from>
    <xdr:to>
      <xdr:col>6</xdr:col>
      <xdr:colOff>814500</xdr:colOff>
      <xdr:row>67</xdr:row>
      <xdr:rowOff>56258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2AE1130-9D26-028F-473A-203732E916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96202</xdr:colOff>
      <xdr:row>0</xdr:row>
      <xdr:rowOff>330517</xdr:rowOff>
    </xdr:from>
    <xdr:to>
      <xdr:col>18</xdr:col>
      <xdr:colOff>402907</xdr:colOff>
      <xdr:row>15</xdr:row>
      <xdr:rowOff>54292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7AF009D-A826-2359-11DF-0972C25AC9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496252</xdr:colOff>
      <xdr:row>16</xdr:row>
      <xdr:rowOff>111442</xdr:rowOff>
    </xdr:from>
    <xdr:to>
      <xdr:col>18</xdr:col>
      <xdr:colOff>193357</xdr:colOff>
      <xdr:row>30</xdr:row>
      <xdr:rowOff>73342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5122E75-3D91-15C4-DC23-495DC17E21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487680</xdr:colOff>
      <xdr:row>67</xdr:row>
      <xdr:rowOff>163830</xdr:rowOff>
    </xdr:from>
    <xdr:to>
      <xdr:col>16</xdr:col>
      <xdr:colOff>76200</xdr:colOff>
      <xdr:row>81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B37B17-2289-07CB-1B9B-F80BFEE146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10EE0-9CE1-4B2D-BE78-565F3D49D2D3}">
  <dimension ref="A1:I118"/>
  <sheetViews>
    <sheetView zoomScale="70" zoomScaleNormal="70" workbookViewId="0">
      <selection activeCell="G114" sqref="G114"/>
    </sheetView>
  </sheetViews>
  <sheetFormatPr defaultRowHeight="14.4"/>
  <cols>
    <col min="1" max="1" width="12.109375" customWidth="1"/>
    <col min="2" max="2" width="18.5546875" customWidth="1"/>
    <col min="3" max="3" width="21.33203125" customWidth="1"/>
    <col min="4" max="4" width="23.5546875" customWidth="1"/>
    <col min="5" max="5" width="26.21875" customWidth="1"/>
    <col min="6" max="6" width="27.6640625" customWidth="1"/>
    <col min="7" max="7" width="19.21875" customWidth="1"/>
    <col min="8" max="8" width="19.109375" customWidth="1"/>
    <col min="9" max="9" width="12.6640625" bestFit="1" customWidth="1"/>
  </cols>
  <sheetData>
    <row r="1" spans="1:5">
      <c r="A1" t="s">
        <v>0</v>
      </c>
      <c r="B1" t="s">
        <v>1</v>
      </c>
      <c r="C1" t="s">
        <v>2</v>
      </c>
      <c r="D1" t="s">
        <v>48</v>
      </c>
      <c r="E1" t="s">
        <v>50</v>
      </c>
    </row>
    <row r="2" spans="1:5">
      <c r="A2" t="s">
        <v>3</v>
      </c>
      <c r="B2">
        <v>1</v>
      </c>
      <c r="C2">
        <v>54</v>
      </c>
      <c r="D2" t="s">
        <v>49</v>
      </c>
    </row>
    <row r="3" spans="1:5">
      <c r="A3" t="s">
        <v>3</v>
      </c>
      <c r="B3">
        <v>2</v>
      </c>
      <c r="C3">
        <v>52.2</v>
      </c>
    </row>
    <row r="4" spans="1:5">
      <c r="A4" t="s">
        <v>3</v>
      </c>
      <c r="B4">
        <v>3</v>
      </c>
      <c r="C4">
        <v>30</v>
      </c>
    </row>
    <row r="5" spans="1:5">
      <c r="A5" t="s">
        <v>3</v>
      </c>
      <c r="B5">
        <v>4</v>
      </c>
      <c r="C5">
        <v>80.400000000000006</v>
      </c>
    </row>
    <row r="6" spans="1:5">
      <c r="A6" t="s">
        <v>3</v>
      </c>
      <c r="B6">
        <v>5</v>
      </c>
      <c r="C6">
        <v>42</v>
      </c>
    </row>
    <row r="7" spans="1:5">
      <c r="A7">
        <v>10</v>
      </c>
      <c r="B7">
        <v>1</v>
      </c>
      <c r="C7">
        <v>571.19999999999993</v>
      </c>
      <c r="D7" s="1">
        <v>1.61</v>
      </c>
      <c r="E7">
        <f>D7*0.97</f>
        <v>1.5617000000000001</v>
      </c>
    </row>
    <row r="8" spans="1:5">
      <c r="A8">
        <v>10</v>
      </c>
      <c r="B8">
        <v>2</v>
      </c>
      <c r="C8">
        <v>576</v>
      </c>
      <c r="D8" s="1">
        <v>1.61</v>
      </c>
      <c r="E8">
        <f t="shared" ref="E8:E36" si="0">D8*0.97</f>
        <v>1.5617000000000001</v>
      </c>
    </row>
    <row r="9" spans="1:5">
      <c r="A9">
        <v>10</v>
      </c>
      <c r="B9">
        <v>3</v>
      </c>
      <c r="C9">
        <v>550.20000000000005</v>
      </c>
      <c r="D9" s="1">
        <v>1.61</v>
      </c>
      <c r="E9">
        <f t="shared" si="0"/>
        <v>1.5617000000000001</v>
      </c>
    </row>
    <row r="10" spans="1:5">
      <c r="A10">
        <v>10</v>
      </c>
      <c r="B10">
        <v>4</v>
      </c>
      <c r="C10">
        <v>571.79999999999995</v>
      </c>
      <c r="D10" s="1">
        <v>1.6</v>
      </c>
      <c r="E10">
        <f t="shared" si="0"/>
        <v>1.552</v>
      </c>
    </row>
    <row r="11" spans="1:5">
      <c r="A11">
        <v>10</v>
      </c>
      <c r="B11">
        <v>5</v>
      </c>
      <c r="C11">
        <v>549</v>
      </c>
      <c r="D11" s="1">
        <v>1.6</v>
      </c>
      <c r="E11">
        <f t="shared" si="0"/>
        <v>1.552</v>
      </c>
    </row>
    <row r="12" spans="1:5">
      <c r="A12">
        <v>20</v>
      </c>
      <c r="B12">
        <v>1</v>
      </c>
      <c r="C12">
        <v>220.2</v>
      </c>
      <c r="D12" s="1">
        <v>0.56000000000000005</v>
      </c>
      <c r="E12">
        <f t="shared" si="0"/>
        <v>0.54320000000000002</v>
      </c>
    </row>
    <row r="13" spans="1:5">
      <c r="A13">
        <v>20</v>
      </c>
      <c r="B13">
        <v>2</v>
      </c>
      <c r="C13">
        <v>193.8</v>
      </c>
      <c r="D13" s="1">
        <v>0.56999999999999995</v>
      </c>
      <c r="E13">
        <f t="shared" si="0"/>
        <v>0.55289999999999995</v>
      </c>
    </row>
    <row r="14" spans="1:5">
      <c r="A14">
        <v>20</v>
      </c>
      <c r="B14">
        <v>3</v>
      </c>
      <c r="C14">
        <v>184.8</v>
      </c>
      <c r="D14" s="1">
        <v>0.56999999999999995</v>
      </c>
      <c r="E14">
        <f t="shared" si="0"/>
        <v>0.55289999999999995</v>
      </c>
    </row>
    <row r="15" spans="1:5">
      <c r="A15">
        <v>20</v>
      </c>
      <c r="B15">
        <v>4</v>
      </c>
      <c r="C15">
        <v>217.20000000000002</v>
      </c>
      <c r="D15" s="1">
        <v>0.57999999999999996</v>
      </c>
      <c r="E15">
        <f t="shared" si="0"/>
        <v>0.56259999999999999</v>
      </c>
    </row>
    <row r="16" spans="1:5">
      <c r="A16">
        <v>20</v>
      </c>
      <c r="B16">
        <v>5</v>
      </c>
      <c r="C16">
        <v>178.20000000000002</v>
      </c>
      <c r="D16" s="1">
        <v>0.57999999999999996</v>
      </c>
      <c r="E16">
        <f t="shared" si="0"/>
        <v>0.56259999999999999</v>
      </c>
    </row>
    <row r="17" spans="1:5">
      <c r="A17">
        <v>30</v>
      </c>
      <c r="B17">
        <v>1</v>
      </c>
      <c r="C17">
        <v>136.19999999999999</v>
      </c>
      <c r="D17" s="1">
        <v>0.35</v>
      </c>
      <c r="E17">
        <f t="shared" si="0"/>
        <v>0.33949999999999997</v>
      </c>
    </row>
    <row r="18" spans="1:5">
      <c r="A18">
        <v>30</v>
      </c>
      <c r="B18">
        <v>2</v>
      </c>
      <c r="C18">
        <v>128.4</v>
      </c>
      <c r="D18" s="1">
        <v>0.35</v>
      </c>
      <c r="E18">
        <f t="shared" si="0"/>
        <v>0.33949999999999997</v>
      </c>
    </row>
    <row r="19" spans="1:5">
      <c r="A19">
        <v>30</v>
      </c>
      <c r="B19">
        <v>3</v>
      </c>
      <c r="C19">
        <v>121.2</v>
      </c>
      <c r="D19" s="1">
        <v>0.35</v>
      </c>
      <c r="E19">
        <f t="shared" si="0"/>
        <v>0.33949999999999997</v>
      </c>
    </row>
    <row r="20" spans="1:5">
      <c r="A20">
        <v>30</v>
      </c>
      <c r="B20">
        <v>4</v>
      </c>
      <c r="C20">
        <v>129</v>
      </c>
      <c r="D20" s="1">
        <v>0.35</v>
      </c>
      <c r="E20">
        <f t="shared" si="0"/>
        <v>0.33949999999999997</v>
      </c>
    </row>
    <row r="21" spans="1:5">
      <c r="A21">
        <v>30</v>
      </c>
      <c r="B21">
        <v>5</v>
      </c>
      <c r="C21">
        <v>120.6</v>
      </c>
      <c r="D21" s="1">
        <v>0.35</v>
      </c>
      <c r="E21">
        <f t="shared" si="0"/>
        <v>0.33949999999999997</v>
      </c>
    </row>
    <row r="22" spans="1:5">
      <c r="A22">
        <v>40</v>
      </c>
      <c r="B22">
        <v>1</v>
      </c>
      <c r="C22">
        <v>103.2</v>
      </c>
      <c r="D22" s="1">
        <v>0.25</v>
      </c>
      <c r="E22">
        <f t="shared" si="0"/>
        <v>0.24249999999999999</v>
      </c>
    </row>
    <row r="23" spans="1:5">
      <c r="A23">
        <v>40</v>
      </c>
      <c r="B23">
        <v>2</v>
      </c>
      <c r="C23">
        <v>99</v>
      </c>
      <c r="D23" s="1">
        <v>0.26</v>
      </c>
      <c r="E23">
        <f t="shared" si="0"/>
        <v>0.25219999999999998</v>
      </c>
    </row>
    <row r="24" spans="1:5">
      <c r="A24">
        <v>40</v>
      </c>
      <c r="B24">
        <v>3</v>
      </c>
      <c r="C24">
        <v>96.600000000000009</v>
      </c>
      <c r="D24" s="1">
        <v>0.25</v>
      </c>
      <c r="E24">
        <f t="shared" si="0"/>
        <v>0.24249999999999999</v>
      </c>
    </row>
    <row r="25" spans="1:5">
      <c r="A25">
        <v>40</v>
      </c>
      <c r="B25">
        <v>4</v>
      </c>
      <c r="C25">
        <v>95.4</v>
      </c>
      <c r="D25" s="1">
        <v>0.25</v>
      </c>
      <c r="E25">
        <f t="shared" si="0"/>
        <v>0.24249999999999999</v>
      </c>
    </row>
    <row r="26" spans="1:5">
      <c r="A26">
        <v>40</v>
      </c>
      <c r="B26">
        <v>5</v>
      </c>
      <c r="C26">
        <v>73.2</v>
      </c>
      <c r="D26" s="1">
        <v>0.25</v>
      </c>
      <c r="E26">
        <f t="shared" si="0"/>
        <v>0.24249999999999999</v>
      </c>
    </row>
    <row r="27" spans="1:5">
      <c r="A27">
        <v>50</v>
      </c>
      <c r="B27">
        <v>1</v>
      </c>
      <c r="C27">
        <v>93.600000000000009</v>
      </c>
      <c r="D27" s="1">
        <v>0.21</v>
      </c>
      <c r="E27">
        <f t="shared" si="0"/>
        <v>0.20369999999999999</v>
      </c>
    </row>
    <row r="28" spans="1:5">
      <c r="A28">
        <v>50</v>
      </c>
      <c r="B28">
        <v>2</v>
      </c>
      <c r="C28">
        <v>93.600000000000009</v>
      </c>
      <c r="D28" s="1">
        <v>0.21</v>
      </c>
      <c r="E28">
        <f t="shared" si="0"/>
        <v>0.20369999999999999</v>
      </c>
    </row>
    <row r="29" spans="1:5">
      <c r="A29">
        <v>50</v>
      </c>
      <c r="B29">
        <v>3</v>
      </c>
      <c r="C29">
        <v>94.2</v>
      </c>
      <c r="D29" s="1">
        <v>0.21</v>
      </c>
      <c r="E29">
        <f t="shared" si="0"/>
        <v>0.20369999999999999</v>
      </c>
    </row>
    <row r="30" spans="1:5">
      <c r="A30">
        <v>50</v>
      </c>
      <c r="B30">
        <v>4</v>
      </c>
      <c r="C30">
        <v>100.8</v>
      </c>
      <c r="D30" s="1">
        <v>0.21</v>
      </c>
      <c r="E30">
        <f t="shared" si="0"/>
        <v>0.20369999999999999</v>
      </c>
    </row>
    <row r="31" spans="1:5">
      <c r="A31">
        <v>50</v>
      </c>
      <c r="B31">
        <v>5</v>
      </c>
      <c r="C31">
        <v>74.400000000000006</v>
      </c>
      <c r="D31" s="1">
        <v>0.21</v>
      </c>
      <c r="E31">
        <f t="shared" si="0"/>
        <v>0.20369999999999999</v>
      </c>
    </row>
    <row r="32" spans="1:5">
      <c r="A32">
        <v>60</v>
      </c>
      <c r="B32">
        <v>1</v>
      </c>
      <c r="C32">
        <v>69</v>
      </c>
      <c r="D32" s="1">
        <v>0.18</v>
      </c>
      <c r="E32">
        <f t="shared" si="0"/>
        <v>0.17459999999999998</v>
      </c>
    </row>
    <row r="33" spans="1:8">
      <c r="A33">
        <v>60</v>
      </c>
      <c r="B33">
        <v>2</v>
      </c>
      <c r="C33">
        <v>75</v>
      </c>
      <c r="D33" s="1">
        <v>0.18</v>
      </c>
      <c r="E33">
        <f t="shared" si="0"/>
        <v>0.17459999999999998</v>
      </c>
    </row>
    <row r="34" spans="1:8">
      <c r="A34">
        <v>60</v>
      </c>
      <c r="B34">
        <v>3</v>
      </c>
      <c r="C34">
        <v>67.8</v>
      </c>
      <c r="D34" s="1">
        <v>0.18</v>
      </c>
      <c r="E34">
        <f t="shared" si="0"/>
        <v>0.17459999999999998</v>
      </c>
    </row>
    <row r="35" spans="1:8">
      <c r="A35">
        <v>60</v>
      </c>
      <c r="B35">
        <v>4</v>
      </c>
      <c r="C35">
        <v>71.399999999999991</v>
      </c>
      <c r="D35" s="1">
        <v>0.18</v>
      </c>
      <c r="E35">
        <f t="shared" si="0"/>
        <v>0.17459999999999998</v>
      </c>
    </row>
    <row r="36" spans="1:8">
      <c r="A36">
        <v>60</v>
      </c>
      <c r="B36">
        <v>5</v>
      </c>
      <c r="C36">
        <v>75</v>
      </c>
      <c r="D36" s="1">
        <v>0.18</v>
      </c>
      <c r="E36">
        <f t="shared" si="0"/>
        <v>0.17459999999999998</v>
      </c>
    </row>
    <row r="40" spans="1:8" ht="28.8">
      <c r="A40" s="2" t="s">
        <v>0</v>
      </c>
      <c r="B40" s="2" t="s">
        <v>4</v>
      </c>
      <c r="C40" s="2" t="s">
        <v>51</v>
      </c>
      <c r="D40" s="2" t="s">
        <v>5</v>
      </c>
      <c r="E40" s="2" t="s">
        <v>52</v>
      </c>
      <c r="F40" s="2" t="s">
        <v>53</v>
      </c>
      <c r="G40" s="2" t="s">
        <v>54</v>
      </c>
      <c r="H40" s="2" t="s">
        <v>50</v>
      </c>
    </row>
    <row r="41" spans="1:8">
      <c r="A41">
        <v>10</v>
      </c>
      <c r="B41">
        <f>AVERAGE(C7:C11)</f>
        <v>563.64</v>
      </c>
      <c r="C41">
        <f>AVERAGE($C$2:$C$6)</f>
        <v>51.720000000000006</v>
      </c>
      <c r="D41">
        <f>B41-C41</f>
        <v>511.91999999999996</v>
      </c>
      <c r="E41">
        <f>_xlfn.STDEV.P(C7:C11)</f>
        <v>11.588546069287528</v>
      </c>
      <c r="F41">
        <f>E41/SQRT(5)</f>
        <v>5.1825553542629796</v>
      </c>
      <c r="G41">
        <f>F41/D41*100</f>
        <v>1.0123760263836106</v>
      </c>
      <c r="H41">
        <f>AVERAGE(E7:E11)</f>
        <v>1.55782</v>
      </c>
    </row>
    <row r="42" spans="1:8">
      <c r="A42">
        <v>20</v>
      </c>
      <c r="B42">
        <f>AVERAGE(C12:C16)</f>
        <v>198.84</v>
      </c>
      <c r="C42">
        <f t="shared" ref="C42:C46" si="1">AVERAGE($C$2:$C$6)</f>
        <v>51.720000000000006</v>
      </c>
      <c r="D42">
        <f t="shared" ref="D42:D46" si="2">B42-C42</f>
        <v>147.12</v>
      </c>
      <c r="E42">
        <f>_xlfn.STDEV.P(C12:C16)</f>
        <v>16.981590031560643</v>
      </c>
      <c r="F42">
        <f t="shared" ref="F42:F46" si="3">E42/SQRT(5)</f>
        <v>7.5943979353204787</v>
      </c>
      <c r="G42">
        <f t="shared" ref="G42:G46" si="4">F42/D42*100</f>
        <v>5.1620431860525278</v>
      </c>
      <c r="H42">
        <f>AVERAGE(E12:E16)</f>
        <v>0.55483999999999989</v>
      </c>
    </row>
    <row r="43" spans="1:8">
      <c r="A43">
        <v>30</v>
      </c>
      <c r="B43">
        <f>AVERAGE(C17:C21)</f>
        <v>127.08</v>
      </c>
      <c r="C43">
        <f t="shared" si="1"/>
        <v>51.720000000000006</v>
      </c>
      <c r="D43">
        <f t="shared" si="2"/>
        <v>75.359999999999985</v>
      </c>
      <c r="E43">
        <f>_xlfn.STDEV.P(C17:C21)</f>
        <v>5.7474864071174592</v>
      </c>
      <c r="F43">
        <f t="shared" si="3"/>
        <v>2.5703540612141338</v>
      </c>
      <c r="G43">
        <f t="shared" si="4"/>
        <v>3.4107670663669509</v>
      </c>
      <c r="H43">
        <f>AVERAGE(E17:E21)</f>
        <v>0.33949999999999997</v>
      </c>
    </row>
    <row r="44" spans="1:8">
      <c r="A44">
        <v>40</v>
      </c>
      <c r="B44">
        <f>AVERAGE(C22:C26)</f>
        <v>93.48</v>
      </c>
      <c r="C44">
        <f t="shared" si="1"/>
        <v>51.720000000000006</v>
      </c>
      <c r="D44">
        <f t="shared" si="2"/>
        <v>41.76</v>
      </c>
      <c r="E44">
        <f>_xlfn.STDEV.P(C22:C26)</f>
        <v>10.484731756225262</v>
      </c>
      <c r="F44">
        <f t="shared" si="3"/>
        <v>4.6889145865540875</v>
      </c>
      <c r="G44">
        <f t="shared" si="4"/>
        <v>11.228243741748296</v>
      </c>
      <c r="H44">
        <f>AVERAGE(E22:E26)</f>
        <v>0.24443999999999999</v>
      </c>
    </row>
    <row r="45" spans="1:8">
      <c r="A45">
        <v>50</v>
      </c>
      <c r="B45">
        <f>AVERAGE(C27:C31)</f>
        <v>91.320000000000007</v>
      </c>
      <c r="C45">
        <f t="shared" si="1"/>
        <v>51.720000000000006</v>
      </c>
      <c r="D45">
        <f t="shared" si="2"/>
        <v>39.6</v>
      </c>
      <c r="E45">
        <f>_xlfn.STDEV.P(C27:C31)</f>
        <v>8.8864841191553356</v>
      </c>
      <c r="F45">
        <f t="shared" si="3"/>
        <v>3.9741565142807342</v>
      </c>
      <c r="G45">
        <f t="shared" si="4"/>
        <v>10.035748773436197</v>
      </c>
      <c r="H45">
        <f>AVERAGE(E27:E31)</f>
        <v>0.20369999999999999</v>
      </c>
    </row>
    <row r="46" spans="1:8">
      <c r="A46">
        <v>60</v>
      </c>
      <c r="B46">
        <f>AVERAGE(C32:C36)</f>
        <v>71.64</v>
      </c>
      <c r="C46">
        <f t="shared" si="1"/>
        <v>51.720000000000006</v>
      </c>
      <c r="D46">
        <f t="shared" si="2"/>
        <v>19.919999999999995</v>
      </c>
      <c r="E46">
        <f>_xlfn.STDEV.P(C32:C36)</f>
        <v>2.9783216750378068</v>
      </c>
      <c r="F46">
        <f t="shared" si="3"/>
        <v>1.3319459448491149</v>
      </c>
      <c r="G46">
        <f t="shared" si="4"/>
        <v>6.6864756267525856</v>
      </c>
      <c r="H46">
        <f>AVERAGE(E32:E36)</f>
        <v>0.17459999999999998</v>
      </c>
    </row>
    <row r="67" spans="1:4">
      <c r="A67" cm="1">
        <f t="array" ref="A67:B71">LINEST(H41:H46,D41:D46,TRUE,TRUE)</f>
        <v>2.8192974178100224E-3</v>
      </c>
      <c r="B67">
        <v>0.11981158898075339</v>
      </c>
    </row>
    <row r="68" spans="1:4">
      <c r="A68">
        <v>4.3047035964639873E-5</v>
      </c>
      <c r="B68">
        <v>9.5141801248848721E-3</v>
      </c>
    </row>
    <row r="69" spans="1:4">
      <c r="A69">
        <v>0.99906833473353263</v>
      </c>
      <c r="B69">
        <v>1.8095166754872039E-2</v>
      </c>
    </row>
    <row r="70" spans="1:4">
      <c r="A70">
        <v>4289.3874900876226</v>
      </c>
      <c r="B70">
        <v>4</v>
      </c>
    </row>
    <row r="71" spans="1:4">
      <c r="A71">
        <v>1.4044958496937865</v>
      </c>
      <c r="B71">
        <v>1.3097402395465052E-3</v>
      </c>
    </row>
    <row r="74" spans="1:4">
      <c r="A74" s="2" t="s">
        <v>32</v>
      </c>
      <c r="B74" s="2" t="s">
        <v>55</v>
      </c>
      <c r="C74" t="s">
        <v>39</v>
      </c>
      <c r="D74" s="2" t="s">
        <v>56</v>
      </c>
    </row>
    <row r="75" spans="1:4" ht="57.6">
      <c r="A75" s="10" t="s">
        <v>57</v>
      </c>
      <c r="B75" s="10" t="s">
        <v>58</v>
      </c>
      <c r="C75">
        <f>A67</f>
        <v>2.8192974178100224E-3</v>
      </c>
      <c r="D75" s="10" t="s">
        <v>59</v>
      </c>
    </row>
    <row r="76" spans="1:4" ht="28.8">
      <c r="A76" s="10" t="s">
        <v>60</v>
      </c>
      <c r="B76" s="10" t="s">
        <v>61</v>
      </c>
      <c r="C76">
        <f>B67</f>
        <v>0.11981158898075339</v>
      </c>
      <c r="D76" s="10" t="s">
        <v>62</v>
      </c>
    </row>
    <row r="77" spans="1:4" ht="28.8">
      <c r="A77" s="10" t="s">
        <v>63</v>
      </c>
      <c r="B77" s="10" t="s">
        <v>64</v>
      </c>
      <c r="C77">
        <f>A68</f>
        <v>4.3047035964639873E-5</v>
      </c>
      <c r="D77" s="10" t="s">
        <v>65</v>
      </c>
    </row>
    <row r="78" spans="1:4" ht="43.2">
      <c r="A78" s="10" t="s">
        <v>66</v>
      </c>
      <c r="B78" s="10" t="s">
        <v>67</v>
      </c>
      <c r="C78">
        <f>B68</f>
        <v>9.5141801248848721E-3</v>
      </c>
      <c r="D78" s="10" t="s">
        <v>68</v>
      </c>
    </row>
    <row r="79" spans="1:4" ht="28.8">
      <c r="A79" s="10" t="s">
        <v>69</v>
      </c>
      <c r="B79" s="10" t="s">
        <v>70</v>
      </c>
      <c r="C79">
        <f>A69</f>
        <v>0.99906833473353263</v>
      </c>
      <c r="D79" s="10" t="s">
        <v>71</v>
      </c>
    </row>
    <row r="80" spans="1:4" ht="28.8">
      <c r="A80" s="10" t="s">
        <v>72</v>
      </c>
      <c r="B80" s="10" t="s">
        <v>73</v>
      </c>
      <c r="C80">
        <f>_xlfn.T.INV.2T(0.05,4)</f>
        <v>2.7764451051977934</v>
      </c>
      <c r="D80" s="11" t="s">
        <v>74</v>
      </c>
    </row>
    <row r="81" spans="1:6" ht="28.8">
      <c r="A81" s="10" t="s">
        <v>75</v>
      </c>
      <c r="B81" s="10" t="s">
        <v>76</v>
      </c>
      <c r="C81">
        <f>C75-C80*C77</f>
        <v>2.6997796855127245E-3</v>
      </c>
      <c r="D81" s="13" t="s">
        <v>114</v>
      </c>
    </row>
    <row r="82" spans="1:6" ht="28.8">
      <c r="A82" s="10" t="s">
        <v>77</v>
      </c>
      <c r="B82" s="10" t="s">
        <v>78</v>
      </c>
      <c r="C82">
        <f>C75+C80*C77</f>
        <v>2.9388151501073202E-3</v>
      </c>
      <c r="D82" s="13" t="s">
        <v>113</v>
      </c>
    </row>
    <row r="86" spans="1:6" ht="28.8">
      <c r="A86" s="2" t="s">
        <v>0</v>
      </c>
      <c r="B86" s="2" t="s">
        <v>5</v>
      </c>
      <c r="C86" s="2" t="s">
        <v>50</v>
      </c>
      <c r="D86" s="2" t="s">
        <v>6</v>
      </c>
      <c r="E86" s="2" t="s">
        <v>7</v>
      </c>
      <c r="F86" s="2" t="s">
        <v>79</v>
      </c>
    </row>
    <row r="87" spans="1:6">
      <c r="A87">
        <v>10</v>
      </c>
      <c r="B87">
        <f>D41</f>
        <v>511.91999999999996</v>
      </c>
      <c r="C87">
        <f>H41</f>
        <v>1.55782</v>
      </c>
      <c r="D87">
        <f>$C$75*B87+$C$76</f>
        <v>1.56306632310606</v>
      </c>
      <c r="E87">
        <f>ABS(D87-C87)/C87*100</f>
        <v>0.33677338242287241</v>
      </c>
      <c r="F87" t="str">
        <f xml:space="preserve"> IF(E87 &lt;= 10, "Memenuhi (≤10%)", "Tidak Memenuhi (&gt;10%)")</f>
        <v>Memenuhi (≤10%)</v>
      </c>
    </row>
    <row r="88" spans="1:6">
      <c r="A88">
        <v>20</v>
      </c>
      <c r="B88">
        <f t="shared" ref="B88:B92" si="5">D42</f>
        <v>147.12</v>
      </c>
      <c r="C88">
        <f t="shared" ref="C88:C92" si="6">H42</f>
        <v>0.55483999999999989</v>
      </c>
      <c r="D88">
        <f t="shared" ref="D88:D92" si="7">$C$75*B88+$C$76</f>
        <v>0.53458662508896393</v>
      </c>
      <c r="E88">
        <f t="shared" ref="E88:E92" si="8">ABS(D88-C88)/C88*100</f>
        <v>3.6503090820841981</v>
      </c>
      <c r="F88" t="str">
        <f t="shared" ref="F88:F92" si="9" xml:space="preserve"> IF(E88 &lt;= 10, "Memenuhi (≤10%)", "Tidak Memenuhi (&gt;10%)")</f>
        <v>Memenuhi (≤10%)</v>
      </c>
    </row>
    <row r="89" spans="1:6">
      <c r="A89">
        <v>30</v>
      </c>
      <c r="B89">
        <f t="shared" si="5"/>
        <v>75.359999999999985</v>
      </c>
      <c r="C89">
        <f t="shared" si="6"/>
        <v>0.33949999999999997</v>
      </c>
      <c r="D89">
        <f t="shared" si="7"/>
        <v>0.3322738423869166</v>
      </c>
      <c r="E89">
        <f t="shared" si="8"/>
        <v>2.1284705782277977</v>
      </c>
      <c r="F89" t="str">
        <f t="shared" si="9"/>
        <v>Memenuhi (≤10%)</v>
      </c>
    </row>
    <row r="90" spans="1:6">
      <c r="A90">
        <v>40</v>
      </c>
      <c r="B90">
        <f t="shared" si="5"/>
        <v>41.76</v>
      </c>
      <c r="C90">
        <f t="shared" si="6"/>
        <v>0.24443999999999999</v>
      </c>
      <c r="D90">
        <f t="shared" si="7"/>
        <v>0.23754544914849993</v>
      </c>
      <c r="E90">
        <f t="shared" si="8"/>
        <v>2.8205493583292687</v>
      </c>
      <c r="F90" t="str">
        <f t="shared" si="9"/>
        <v>Memenuhi (≤10%)</v>
      </c>
    </row>
    <row r="91" spans="1:6">
      <c r="A91">
        <v>50</v>
      </c>
      <c r="B91">
        <f t="shared" si="5"/>
        <v>39.6</v>
      </c>
      <c r="C91">
        <f t="shared" si="6"/>
        <v>0.20369999999999999</v>
      </c>
      <c r="D91">
        <f t="shared" si="7"/>
        <v>0.2314557667260303</v>
      </c>
      <c r="E91">
        <f t="shared" si="8"/>
        <v>13.625805952886749</v>
      </c>
      <c r="F91" t="str">
        <f t="shared" si="9"/>
        <v>Tidak Memenuhi (&gt;10%)</v>
      </c>
    </row>
    <row r="92" spans="1:6">
      <c r="A92">
        <v>60</v>
      </c>
      <c r="B92">
        <f t="shared" si="5"/>
        <v>19.919999999999995</v>
      </c>
      <c r="C92">
        <f t="shared" si="6"/>
        <v>0.17459999999999998</v>
      </c>
      <c r="D92">
        <f t="shared" si="7"/>
        <v>0.17597199354352902</v>
      </c>
      <c r="E92">
        <f t="shared" si="8"/>
        <v>0.78579240751949797</v>
      </c>
      <c r="F92" t="str">
        <f t="shared" si="9"/>
        <v>Memenuhi (≤10%)</v>
      </c>
    </row>
    <row r="97" spans="1:9">
      <c r="A97" s="2" t="s">
        <v>80</v>
      </c>
      <c r="B97" s="2" t="s">
        <v>81</v>
      </c>
      <c r="C97" s="2" t="s">
        <v>82</v>
      </c>
      <c r="D97" s="2" t="s">
        <v>83</v>
      </c>
      <c r="E97" s="2" t="s">
        <v>84</v>
      </c>
    </row>
    <row r="98" spans="1:9" ht="57.6">
      <c r="A98" s="10" t="s">
        <v>85</v>
      </c>
      <c r="B98" s="10" t="s">
        <v>86</v>
      </c>
      <c r="C98" s="10">
        <v>15</v>
      </c>
      <c r="D98" s="10" t="s">
        <v>87</v>
      </c>
      <c r="E98" s="10" t="s">
        <v>88</v>
      </c>
    </row>
    <row r="99" spans="1:9" ht="57.6">
      <c r="A99" s="10" t="s">
        <v>89</v>
      </c>
      <c r="B99" s="10" t="s">
        <v>90</v>
      </c>
      <c r="C99" s="10">
        <v>1.03</v>
      </c>
      <c r="D99" s="10" t="s">
        <v>87</v>
      </c>
      <c r="E99" s="10" t="s">
        <v>91</v>
      </c>
    </row>
    <row r="103" spans="1:9">
      <c r="A103" s="2" t="s">
        <v>0</v>
      </c>
      <c r="B103" s="2" t="s">
        <v>6</v>
      </c>
      <c r="C103" s="2" t="s">
        <v>54</v>
      </c>
      <c r="D103" s="2" t="s">
        <v>92</v>
      </c>
      <c r="E103" s="2" t="s">
        <v>93</v>
      </c>
      <c r="F103" s="2" t="s">
        <v>94</v>
      </c>
      <c r="G103" s="2" t="s">
        <v>95</v>
      </c>
      <c r="H103" s="2" t="s">
        <v>96</v>
      </c>
      <c r="I103" s="2" t="s">
        <v>97</v>
      </c>
    </row>
    <row r="104" spans="1:9">
      <c r="A104" s="10">
        <v>10</v>
      </c>
      <c r="B104" s="10">
        <f>D87</f>
        <v>1.56306632310606</v>
      </c>
      <c r="C104" s="10">
        <f>G41</f>
        <v>1.0123760263836106</v>
      </c>
      <c r="D104" s="10">
        <v>8.66</v>
      </c>
      <c r="E104" s="10">
        <v>0.59</v>
      </c>
      <c r="F104" s="10">
        <f>SQRT(C104^2+D104^2+E104^2)</f>
        <v>8.7389132744750508</v>
      </c>
      <c r="G104" s="10">
        <f>2*F104</f>
        <v>17.477826548950102</v>
      </c>
      <c r="H104" s="10">
        <f>G104/100*B104</f>
        <v>0.27319002079752913</v>
      </c>
      <c r="I104" s="10">
        <f>G104/100*D41</f>
        <v>89.472489669385354</v>
      </c>
    </row>
    <row r="105" spans="1:9">
      <c r="A105" s="10">
        <v>20</v>
      </c>
      <c r="B105" s="10">
        <f t="shared" ref="B105:B109" si="10">D88</f>
        <v>0.53458662508896393</v>
      </c>
      <c r="C105" s="10">
        <f t="shared" ref="C105:C109" si="11">G42</f>
        <v>5.1620431860525278</v>
      </c>
      <c r="D105" s="10">
        <v>8.66</v>
      </c>
      <c r="E105" s="10">
        <v>0.59</v>
      </c>
      <c r="F105" s="10">
        <f t="shared" ref="F105:F109" si="12">SQRT(C105^2+D105^2+E105^2)</f>
        <v>10.099029154065818</v>
      </c>
      <c r="G105" s="10">
        <f t="shared" ref="G105:G109" si="13">2*F105</f>
        <v>20.198058308131635</v>
      </c>
      <c r="H105" s="10">
        <f t="shared" ref="H105:H109" si="14">G105/100*B105</f>
        <v>0.107976118242942</v>
      </c>
      <c r="I105" s="10">
        <f t="shared" ref="I105:I109" si="15">G105/100*D42</f>
        <v>29.715383382923264</v>
      </c>
    </row>
    <row r="106" spans="1:9">
      <c r="A106" s="10">
        <v>30</v>
      </c>
      <c r="B106" s="10">
        <f t="shared" si="10"/>
        <v>0.3322738423869166</v>
      </c>
      <c r="C106" s="10">
        <f t="shared" si="11"/>
        <v>3.4107670663669509</v>
      </c>
      <c r="D106" s="10">
        <v>8.66</v>
      </c>
      <c r="E106" s="10">
        <v>0.59</v>
      </c>
      <c r="F106" s="10">
        <f t="shared" si="12"/>
        <v>9.3261477567650299</v>
      </c>
      <c r="G106" s="10">
        <f t="shared" si="13"/>
        <v>18.65229551353006</v>
      </c>
      <c r="H106" s="10">
        <f t="shared" si="14"/>
        <v>6.1976698996168783E-2</v>
      </c>
      <c r="I106" s="10">
        <f t="shared" si="15"/>
        <v>14.05636989899625</v>
      </c>
    </row>
    <row r="107" spans="1:9">
      <c r="A107" s="10">
        <v>40</v>
      </c>
      <c r="B107" s="10">
        <f t="shared" si="10"/>
        <v>0.23754544914849993</v>
      </c>
      <c r="C107" s="10">
        <f t="shared" si="11"/>
        <v>11.228243741748296</v>
      </c>
      <c r="D107" s="10">
        <v>8.66</v>
      </c>
      <c r="E107" s="10">
        <v>0.59</v>
      </c>
      <c r="F107" s="10">
        <f t="shared" si="12"/>
        <v>14.192151264840358</v>
      </c>
      <c r="G107" s="10">
        <f t="shared" si="13"/>
        <v>28.384302529680717</v>
      </c>
      <c r="H107" s="10">
        <f t="shared" si="14"/>
        <v>6.7425618931799089E-2</v>
      </c>
      <c r="I107" s="10">
        <f t="shared" si="15"/>
        <v>11.853284736394667</v>
      </c>
    </row>
    <row r="108" spans="1:9">
      <c r="A108" s="10">
        <v>50</v>
      </c>
      <c r="B108" s="10">
        <f t="shared" si="10"/>
        <v>0.2314557667260303</v>
      </c>
      <c r="C108" s="10">
        <f t="shared" si="11"/>
        <v>10.035748773436197</v>
      </c>
      <c r="D108" s="10">
        <v>8.66</v>
      </c>
      <c r="E108" s="10">
        <v>0.59</v>
      </c>
      <c r="F108" s="10">
        <f t="shared" si="12"/>
        <v>13.268758549447123</v>
      </c>
      <c r="G108" s="10">
        <f t="shared" si="13"/>
        <v>26.537517098894245</v>
      </c>
      <c r="H108" s="10">
        <f t="shared" si="14"/>
        <v>6.1422613671297074E-2</v>
      </c>
      <c r="I108" s="10">
        <f t="shared" si="15"/>
        <v>10.508856771162122</v>
      </c>
    </row>
    <row r="109" spans="1:9">
      <c r="A109" s="10">
        <v>60</v>
      </c>
      <c r="B109" s="10">
        <f t="shared" si="10"/>
        <v>0.17597199354352902</v>
      </c>
      <c r="C109" s="10">
        <f t="shared" si="11"/>
        <v>6.6864756267525856</v>
      </c>
      <c r="D109" s="10">
        <v>8.66</v>
      </c>
      <c r="E109" s="10">
        <v>0.59</v>
      </c>
      <c r="F109" s="10">
        <f t="shared" si="12"/>
        <v>10.956854307106415</v>
      </c>
      <c r="G109" s="10">
        <f t="shared" si="13"/>
        <v>21.91370861421283</v>
      </c>
      <c r="H109" s="10">
        <f t="shared" si="14"/>
        <v>3.8561989907750359E-2</v>
      </c>
      <c r="I109" s="10">
        <f t="shared" si="15"/>
        <v>4.3652107559511943</v>
      </c>
    </row>
    <row r="113" spans="1:5" ht="43.2">
      <c r="A113" s="2" t="s">
        <v>98</v>
      </c>
      <c r="B113" s="2" t="s">
        <v>55</v>
      </c>
      <c r="C113" s="2" t="s">
        <v>99</v>
      </c>
      <c r="D113" s="2" t="s">
        <v>83</v>
      </c>
      <c r="E113" s="2" t="s">
        <v>100</v>
      </c>
    </row>
    <row r="114" spans="1:5" ht="72">
      <c r="A114" s="10" t="s">
        <v>101</v>
      </c>
      <c r="B114" s="10" t="s">
        <v>102</v>
      </c>
      <c r="C114" s="10" t="s">
        <v>103</v>
      </c>
      <c r="D114" s="10" t="s">
        <v>104</v>
      </c>
      <c r="E114" s="10">
        <f>AVERAGE(C104:C109)</f>
        <v>6.2559424034566957</v>
      </c>
    </row>
    <row r="115" spans="1:5" ht="57.6">
      <c r="A115" s="10" t="s">
        <v>105</v>
      </c>
      <c r="B115" s="10" t="s">
        <v>85</v>
      </c>
      <c r="C115" s="10" t="s">
        <v>106</v>
      </c>
      <c r="D115" s="10" t="s">
        <v>87</v>
      </c>
      <c r="E115" s="10">
        <v>8.66</v>
      </c>
    </row>
    <row r="116" spans="1:5" ht="57.6">
      <c r="A116" s="10" t="s">
        <v>107</v>
      </c>
      <c r="B116" s="10" t="s">
        <v>89</v>
      </c>
      <c r="C116" s="10" t="s">
        <v>106</v>
      </c>
      <c r="D116" s="10" t="s">
        <v>87</v>
      </c>
      <c r="E116" s="10">
        <v>0.59</v>
      </c>
    </row>
    <row r="117" spans="1:5" ht="28.8">
      <c r="A117" s="12" t="s">
        <v>108</v>
      </c>
      <c r="B117" s="12" t="s">
        <v>109</v>
      </c>
      <c r="C117" s="10" t="s">
        <v>110</v>
      </c>
      <c r="D117" s="10" t="s">
        <v>110</v>
      </c>
      <c r="E117" s="12">
        <f>AVERAGE(F104:F109)</f>
        <v>11.0969757177833</v>
      </c>
    </row>
    <row r="118" spans="1:5" ht="43.2">
      <c r="A118" s="12" t="s">
        <v>111</v>
      </c>
      <c r="B118" s="12" t="s">
        <v>112</v>
      </c>
      <c r="C118" s="10" t="s">
        <v>110</v>
      </c>
      <c r="D118" s="10" t="s">
        <v>110</v>
      </c>
      <c r="E118" s="12">
        <f>E117*2</f>
        <v>22.1939514355666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C0B65-4C7D-4D74-AAF4-A4104377EC19}">
  <dimension ref="A1:J80"/>
  <sheetViews>
    <sheetView topLeftCell="A19" workbookViewId="0">
      <selection activeCell="I64" sqref="I64"/>
    </sheetView>
  </sheetViews>
  <sheetFormatPr defaultRowHeight="14.4"/>
  <cols>
    <col min="5" max="5" width="11.6640625" customWidth="1"/>
    <col min="6" max="6" width="22.109375" customWidth="1"/>
    <col min="10" max="10" width="19.33203125" customWidth="1"/>
  </cols>
  <sheetData>
    <row r="1" spans="1:10" ht="27" thickBot="1">
      <c r="A1" s="3" t="s">
        <v>8</v>
      </c>
      <c r="B1" s="3" t="s">
        <v>9</v>
      </c>
      <c r="C1" s="3" t="s">
        <v>10</v>
      </c>
      <c r="D1" s="3" t="s">
        <v>11</v>
      </c>
      <c r="E1" s="6"/>
      <c r="F1" s="3" t="s">
        <v>12</v>
      </c>
      <c r="G1" s="3" t="s">
        <v>13</v>
      </c>
      <c r="H1" s="3" t="s">
        <v>14</v>
      </c>
      <c r="I1" s="3" t="s">
        <v>15</v>
      </c>
      <c r="J1" s="5" t="s">
        <v>16</v>
      </c>
    </row>
    <row r="2" spans="1:10" ht="15" thickBot="1">
      <c r="A2" s="3">
        <v>1</v>
      </c>
      <c r="B2" s="3">
        <v>25</v>
      </c>
      <c r="C2" s="3">
        <v>100</v>
      </c>
      <c r="D2" s="4">
        <v>1</v>
      </c>
      <c r="E2" s="6">
        <v>100</v>
      </c>
      <c r="F2" s="8">
        <v>-92.08</v>
      </c>
      <c r="G2" s="3">
        <v>2.2400000000000002</v>
      </c>
      <c r="H2" s="3">
        <v>4.5199999999999996</v>
      </c>
      <c r="I2" s="3">
        <v>2.92</v>
      </c>
      <c r="J2" s="3">
        <v>1818.18</v>
      </c>
    </row>
    <row r="3" spans="1:10" ht="15" thickBot="1">
      <c r="A3" s="3">
        <v>2</v>
      </c>
      <c r="B3" s="3">
        <v>50</v>
      </c>
      <c r="C3" s="3">
        <v>100</v>
      </c>
      <c r="D3" s="4">
        <v>1</v>
      </c>
      <c r="E3" s="6">
        <v>100</v>
      </c>
      <c r="F3" s="8">
        <v>-90.66</v>
      </c>
      <c r="G3" s="3">
        <v>1.49</v>
      </c>
      <c r="H3" s="3">
        <v>5.83</v>
      </c>
      <c r="I3" s="3">
        <v>1.53</v>
      </c>
      <c r="J3" s="3">
        <v>1818.18</v>
      </c>
    </row>
    <row r="4" spans="1:10" ht="15" thickBot="1">
      <c r="A4" s="3">
        <v>3</v>
      </c>
      <c r="B4" s="3">
        <v>75</v>
      </c>
      <c r="C4" s="3">
        <v>100</v>
      </c>
      <c r="D4" s="4">
        <v>1</v>
      </c>
      <c r="E4" s="6">
        <v>100</v>
      </c>
      <c r="F4" s="8">
        <v>-95.42</v>
      </c>
      <c r="G4" s="3">
        <v>0.59</v>
      </c>
      <c r="H4" s="3">
        <v>-0.08</v>
      </c>
      <c r="I4" s="3">
        <v>1.3</v>
      </c>
      <c r="J4" s="3">
        <v>1212.1199999999999</v>
      </c>
    </row>
    <row r="5" spans="1:10" ht="15" thickBot="1">
      <c r="A5" s="3">
        <v>4</v>
      </c>
      <c r="B5" s="3">
        <v>100</v>
      </c>
      <c r="C5" s="3">
        <v>100</v>
      </c>
      <c r="D5" s="4">
        <v>1</v>
      </c>
      <c r="E5" s="6">
        <v>100</v>
      </c>
      <c r="F5" s="8">
        <v>-97.36</v>
      </c>
      <c r="G5" s="3">
        <v>0.67</v>
      </c>
      <c r="H5" s="3">
        <v>-5.77</v>
      </c>
      <c r="I5" s="3">
        <v>1.97</v>
      </c>
      <c r="J5" s="3">
        <v>1818.18</v>
      </c>
    </row>
    <row r="6" spans="1:10" ht="15" thickBot="1">
      <c r="A6" s="3">
        <v>5</v>
      </c>
      <c r="B6" s="3">
        <v>125</v>
      </c>
      <c r="C6" s="3">
        <v>99</v>
      </c>
      <c r="D6" s="4">
        <v>0.99</v>
      </c>
      <c r="E6" s="6">
        <v>99</v>
      </c>
      <c r="F6" s="8">
        <v>-97.4</v>
      </c>
      <c r="G6" s="8">
        <v>0.82778994943627759</v>
      </c>
      <c r="H6" s="3">
        <v>-7.15</v>
      </c>
      <c r="I6" s="3">
        <v>3.48</v>
      </c>
      <c r="J6" s="3">
        <v>1935.48</v>
      </c>
    </row>
    <row r="7" spans="1:10" ht="15" thickBot="1">
      <c r="A7" s="3">
        <v>8</v>
      </c>
      <c r="B7" s="3">
        <v>150</v>
      </c>
      <c r="C7" s="3">
        <v>99</v>
      </c>
      <c r="D7" s="4">
        <v>0.99</v>
      </c>
      <c r="E7" s="6">
        <v>99</v>
      </c>
      <c r="F7" s="8">
        <v>-98.54</v>
      </c>
      <c r="G7" s="3">
        <v>0.69</v>
      </c>
      <c r="H7" s="3">
        <v>-6.09</v>
      </c>
      <c r="I7" s="3">
        <v>1.5</v>
      </c>
      <c r="J7" s="3">
        <v>1224.49</v>
      </c>
    </row>
    <row r="8" spans="1:10" ht="15" thickBot="1">
      <c r="A8" s="3">
        <v>9</v>
      </c>
      <c r="B8" s="3">
        <v>175</v>
      </c>
      <c r="C8" s="3">
        <v>100</v>
      </c>
      <c r="D8" s="4">
        <v>1</v>
      </c>
      <c r="E8" s="6">
        <v>100</v>
      </c>
      <c r="F8" s="8">
        <v>-98.79</v>
      </c>
      <c r="G8" s="3">
        <v>0.61</v>
      </c>
      <c r="H8" s="3">
        <v>-7.54</v>
      </c>
      <c r="I8" s="3">
        <v>1.37</v>
      </c>
      <c r="J8" s="3">
        <v>1818.18</v>
      </c>
    </row>
    <row r="9" spans="1:10" ht="15" thickBot="1">
      <c r="A9" s="3">
        <v>32</v>
      </c>
      <c r="B9" s="3">
        <v>200</v>
      </c>
      <c r="C9" s="3">
        <v>100</v>
      </c>
      <c r="D9" s="4">
        <v>1</v>
      </c>
      <c r="E9" s="6">
        <v>100</v>
      </c>
      <c r="F9" s="8">
        <v>-97.6</v>
      </c>
      <c r="G9" s="8">
        <v>0.61081912216301859</v>
      </c>
      <c r="H9" s="3">
        <v>-11.49</v>
      </c>
      <c r="I9" s="3">
        <v>2.95</v>
      </c>
      <c r="J9" s="3">
        <v>2142.86</v>
      </c>
    </row>
    <row r="10" spans="1:10" ht="15" thickBot="1">
      <c r="A10" s="3">
        <v>14</v>
      </c>
      <c r="B10" s="3">
        <v>225</v>
      </c>
      <c r="C10" s="3">
        <v>100</v>
      </c>
      <c r="D10" s="4">
        <v>1</v>
      </c>
      <c r="E10" s="6">
        <v>100</v>
      </c>
      <c r="F10" s="8">
        <v>-98</v>
      </c>
      <c r="G10" s="8">
        <v>0.94292099350900072</v>
      </c>
      <c r="H10" s="3">
        <v>-12.16</v>
      </c>
      <c r="I10" s="3">
        <v>2.48</v>
      </c>
      <c r="J10" s="3">
        <v>1290.32</v>
      </c>
    </row>
    <row r="11" spans="1:10" ht="15" thickBot="1">
      <c r="A11" s="3">
        <v>30</v>
      </c>
      <c r="B11" s="3">
        <v>250</v>
      </c>
      <c r="C11" s="3">
        <v>95</v>
      </c>
      <c r="D11" s="4">
        <v>0.95</v>
      </c>
      <c r="E11" s="6">
        <v>95</v>
      </c>
      <c r="F11" s="8">
        <v>-97.5</v>
      </c>
      <c r="G11" s="8">
        <v>0.78211388407288518</v>
      </c>
      <c r="H11" s="3">
        <v>-14.08</v>
      </c>
      <c r="I11" s="3">
        <v>1.2</v>
      </c>
      <c r="J11" s="3">
        <v>2000</v>
      </c>
    </row>
    <row r="12" spans="1:10" ht="15" thickBot="1">
      <c r="A12" s="3">
        <v>16</v>
      </c>
      <c r="B12" s="3">
        <v>275</v>
      </c>
      <c r="C12" s="3">
        <v>93</v>
      </c>
      <c r="D12" s="4">
        <v>0.93</v>
      </c>
      <c r="E12" s="6">
        <v>93</v>
      </c>
      <c r="F12" s="8">
        <v>-99.82</v>
      </c>
      <c r="G12" s="3">
        <v>0.69</v>
      </c>
      <c r="H12" s="3">
        <v>-12.6</v>
      </c>
      <c r="I12" s="3">
        <v>1.94</v>
      </c>
      <c r="J12" s="3">
        <v>1956.52</v>
      </c>
    </row>
    <row r="13" spans="1:10" ht="15" thickBot="1">
      <c r="A13" s="3">
        <v>17</v>
      </c>
      <c r="B13" s="3">
        <v>300</v>
      </c>
      <c r="C13" s="3">
        <v>100</v>
      </c>
      <c r="D13" s="4">
        <v>1</v>
      </c>
      <c r="E13" s="6">
        <v>100</v>
      </c>
      <c r="F13" s="8">
        <v>-101.12</v>
      </c>
      <c r="G13" s="3">
        <v>0.64</v>
      </c>
      <c r="H13" s="3">
        <v>-9.08</v>
      </c>
      <c r="I13" s="3">
        <v>1.89</v>
      </c>
      <c r="J13" s="3">
        <v>1212.1199999999999</v>
      </c>
    </row>
    <row r="14" spans="1:10" ht="15" thickBot="1">
      <c r="A14" s="3">
        <v>18</v>
      </c>
      <c r="B14" s="3">
        <v>325</v>
      </c>
      <c r="C14" s="3">
        <v>84</v>
      </c>
      <c r="D14" s="4">
        <v>0.84</v>
      </c>
      <c r="E14" s="6">
        <v>84</v>
      </c>
      <c r="F14" s="8">
        <v>-101.21</v>
      </c>
      <c r="G14" s="3">
        <v>0.97</v>
      </c>
      <c r="H14" s="3">
        <v>-13.21</v>
      </c>
      <c r="I14" s="3">
        <v>1.78</v>
      </c>
      <c r="J14" s="3">
        <v>1445.78</v>
      </c>
    </row>
    <row r="15" spans="1:10" ht="15" thickBot="1">
      <c r="A15" s="3">
        <v>19</v>
      </c>
      <c r="B15" s="3">
        <v>350</v>
      </c>
      <c r="C15" s="3">
        <v>100</v>
      </c>
      <c r="D15" s="4">
        <v>1</v>
      </c>
      <c r="E15" s="6">
        <v>100</v>
      </c>
      <c r="F15" s="8">
        <v>-102.43</v>
      </c>
      <c r="G15" s="3">
        <v>0.74</v>
      </c>
      <c r="H15" s="3">
        <v>-10.16</v>
      </c>
      <c r="I15" s="3">
        <v>2.0299999999999998</v>
      </c>
      <c r="J15" s="3">
        <v>1818.18</v>
      </c>
    </row>
    <row r="16" spans="1:10" ht="15" thickBot="1">
      <c r="A16" s="3">
        <v>20</v>
      </c>
      <c r="B16" s="3">
        <v>375</v>
      </c>
      <c r="C16" s="3">
        <v>100</v>
      </c>
      <c r="D16" s="4">
        <v>1</v>
      </c>
      <c r="E16" s="6">
        <v>100</v>
      </c>
      <c r="F16" s="8">
        <v>-101.91</v>
      </c>
      <c r="G16" s="3">
        <v>0.67</v>
      </c>
      <c r="H16" s="3">
        <v>-10.74</v>
      </c>
      <c r="I16" s="3">
        <v>1.45</v>
      </c>
      <c r="J16" s="3">
        <v>1818.18</v>
      </c>
    </row>
    <row r="17" spans="1:10" ht="15" thickBot="1">
      <c r="A17" s="3">
        <v>21</v>
      </c>
      <c r="B17" s="3">
        <v>400</v>
      </c>
      <c r="C17" s="3">
        <v>93</v>
      </c>
      <c r="D17" s="4">
        <v>0.93</v>
      </c>
      <c r="E17" s="6">
        <v>93</v>
      </c>
      <c r="F17" s="8">
        <v>-102.51</v>
      </c>
      <c r="G17" s="3">
        <v>0.75</v>
      </c>
      <c r="H17" s="3">
        <v>-14.41</v>
      </c>
      <c r="I17" s="3">
        <v>1.55</v>
      </c>
      <c r="J17" s="3">
        <v>1304.3499999999999</v>
      </c>
    </row>
    <row r="18" spans="1:10" ht="15" thickBot="1">
      <c r="A18" s="3">
        <v>22</v>
      </c>
      <c r="B18" s="3">
        <v>425</v>
      </c>
      <c r="C18" s="3">
        <v>91</v>
      </c>
      <c r="D18" s="4">
        <v>0.91</v>
      </c>
      <c r="E18" s="6">
        <v>91</v>
      </c>
      <c r="F18" s="8">
        <v>-100.67</v>
      </c>
      <c r="G18" s="3">
        <v>0.62</v>
      </c>
      <c r="H18" s="3">
        <v>-14.82</v>
      </c>
      <c r="I18" s="3">
        <v>1.27</v>
      </c>
      <c r="J18" s="3">
        <v>2000</v>
      </c>
    </row>
    <row r="19" spans="1:10" ht="15" thickBot="1">
      <c r="A19" s="3">
        <v>23</v>
      </c>
      <c r="B19" s="3">
        <v>450</v>
      </c>
      <c r="C19" s="3">
        <v>100</v>
      </c>
      <c r="D19" s="4">
        <v>1</v>
      </c>
      <c r="E19" s="6">
        <v>100</v>
      </c>
      <c r="F19" s="8">
        <v>-100.83</v>
      </c>
      <c r="G19" s="3">
        <v>0.56999999999999995</v>
      </c>
      <c r="H19" s="3">
        <v>-12.69</v>
      </c>
      <c r="I19" s="3">
        <v>0.98</v>
      </c>
      <c r="J19" s="3">
        <v>1212.1199999999999</v>
      </c>
    </row>
    <row r="20" spans="1:10" ht="15" thickBot="1">
      <c r="A20" s="3">
        <v>25</v>
      </c>
      <c r="B20" s="3">
        <v>475</v>
      </c>
      <c r="C20" s="3">
        <v>94</v>
      </c>
      <c r="D20" s="4">
        <v>0.94</v>
      </c>
      <c r="E20" s="6">
        <v>94</v>
      </c>
      <c r="F20" s="8">
        <v>-102.04</v>
      </c>
      <c r="G20" s="3">
        <v>0.64</v>
      </c>
      <c r="H20" s="3">
        <v>-14.26</v>
      </c>
      <c r="I20" s="3">
        <v>1.55</v>
      </c>
      <c r="J20" s="3">
        <v>1935.48</v>
      </c>
    </row>
    <row r="21" spans="1:10" ht="15" thickBot="1">
      <c r="A21" s="3">
        <v>27</v>
      </c>
      <c r="B21" s="3">
        <v>500</v>
      </c>
      <c r="C21" s="3">
        <v>88</v>
      </c>
      <c r="D21" s="4">
        <v>0.88</v>
      </c>
      <c r="E21" s="6">
        <v>88</v>
      </c>
      <c r="F21" s="8">
        <v>-101.05</v>
      </c>
      <c r="G21" s="3">
        <v>0.45</v>
      </c>
      <c r="H21" s="3">
        <v>-16.420000000000002</v>
      </c>
      <c r="I21" s="3">
        <v>0.76</v>
      </c>
      <c r="J21" s="3">
        <v>1379.31</v>
      </c>
    </row>
    <row r="29" spans="1:10" ht="29.4" thickBot="1">
      <c r="A29" s="2" t="s">
        <v>17</v>
      </c>
      <c r="B29" s="2" t="s">
        <v>18</v>
      </c>
      <c r="C29" s="2" t="s">
        <v>19</v>
      </c>
      <c r="D29" s="2" t="s">
        <v>20</v>
      </c>
      <c r="E29" s="2" t="s">
        <v>21</v>
      </c>
      <c r="F29" s="2" t="s">
        <v>22</v>
      </c>
    </row>
    <row r="30" spans="1:10" ht="15" thickBot="1">
      <c r="A30" s="3">
        <v>25</v>
      </c>
      <c r="B30" s="4">
        <v>1</v>
      </c>
      <c r="C30" s="1">
        <v>100</v>
      </c>
      <c r="D30" s="1">
        <f>(B30-0.9)/SQRT(0.9*0.1/100)</f>
        <v>3.3333333333333321</v>
      </c>
      <c r="E30" s="1">
        <v>1.645</v>
      </c>
      <c r="F30" s="1" t="str">
        <f xml:space="preserve"> IF(D30 &gt; 1.645,"H₀ Ditolak (PSR &gt; 90%)", "Gagal Tolak H₀")</f>
        <v>H₀ Ditolak (PSR &gt; 90%)</v>
      </c>
    </row>
    <row r="31" spans="1:10" ht="15" thickBot="1">
      <c r="A31" s="3">
        <v>50</v>
      </c>
      <c r="B31" s="4">
        <v>1</v>
      </c>
      <c r="C31" s="1">
        <v>100</v>
      </c>
      <c r="D31" s="1">
        <f t="shared" ref="D31:D48" si="0">(B31-0.9)/SQRT(0.9*0.1/100)</f>
        <v>3.3333333333333321</v>
      </c>
      <c r="E31" s="1">
        <v>1.645</v>
      </c>
      <c r="F31" s="1" t="str">
        <f t="shared" ref="F31:F49" si="1" xml:space="preserve"> IF(D31 &gt; 1.645,"H₀ Ditolak (PSR &gt; 90%)", "Gagal Tolak H₀")</f>
        <v>H₀ Ditolak (PSR &gt; 90%)</v>
      </c>
    </row>
    <row r="32" spans="1:10" ht="15" thickBot="1">
      <c r="A32" s="3">
        <v>75</v>
      </c>
      <c r="B32" s="4">
        <v>1</v>
      </c>
      <c r="C32" s="1">
        <v>100</v>
      </c>
      <c r="D32" s="1">
        <f t="shared" si="0"/>
        <v>3.3333333333333321</v>
      </c>
      <c r="E32" s="1">
        <v>1.645</v>
      </c>
      <c r="F32" s="1" t="str">
        <f t="shared" si="1"/>
        <v>H₀ Ditolak (PSR &gt; 90%)</v>
      </c>
    </row>
    <row r="33" spans="1:6" ht="15" thickBot="1">
      <c r="A33" s="3">
        <v>100</v>
      </c>
      <c r="B33" s="4">
        <v>1</v>
      </c>
      <c r="C33" s="1">
        <v>100</v>
      </c>
      <c r="D33" s="1">
        <f t="shared" si="0"/>
        <v>3.3333333333333321</v>
      </c>
      <c r="E33" s="1">
        <v>1.645</v>
      </c>
      <c r="F33" s="1" t="str">
        <f t="shared" si="1"/>
        <v>H₀ Ditolak (PSR &gt; 90%)</v>
      </c>
    </row>
    <row r="34" spans="1:6" ht="15" thickBot="1">
      <c r="A34" s="3">
        <v>125</v>
      </c>
      <c r="B34" s="4">
        <v>0.99</v>
      </c>
      <c r="C34" s="1">
        <v>100</v>
      </c>
      <c r="D34" s="1">
        <f t="shared" si="0"/>
        <v>2.9999999999999987</v>
      </c>
      <c r="E34" s="1">
        <v>1.645</v>
      </c>
      <c r="F34" s="1" t="str">
        <f t="shared" si="1"/>
        <v>H₀ Ditolak (PSR &gt; 90%)</v>
      </c>
    </row>
    <row r="35" spans="1:6" ht="15" thickBot="1">
      <c r="A35" s="3">
        <v>150</v>
      </c>
      <c r="B35" s="4">
        <v>0.99</v>
      </c>
      <c r="C35" s="1">
        <v>100</v>
      </c>
      <c r="D35" s="1">
        <f t="shared" si="0"/>
        <v>2.9999999999999987</v>
      </c>
      <c r="E35" s="1">
        <v>1.645</v>
      </c>
      <c r="F35" s="1" t="str">
        <f t="shared" si="1"/>
        <v>H₀ Ditolak (PSR &gt; 90%)</v>
      </c>
    </row>
    <row r="36" spans="1:6" ht="15" thickBot="1">
      <c r="A36" s="3">
        <v>175</v>
      </c>
      <c r="B36" s="4">
        <v>1</v>
      </c>
      <c r="C36" s="1">
        <v>100</v>
      </c>
      <c r="D36" s="1">
        <f t="shared" si="0"/>
        <v>3.3333333333333321</v>
      </c>
      <c r="E36" s="1">
        <v>1.645</v>
      </c>
      <c r="F36" s="1" t="str">
        <f t="shared" si="1"/>
        <v>H₀ Ditolak (PSR &gt; 90%)</v>
      </c>
    </row>
    <row r="37" spans="1:6" ht="15" thickBot="1">
      <c r="A37" s="3">
        <v>200</v>
      </c>
      <c r="B37" s="4">
        <v>1</v>
      </c>
      <c r="C37" s="1">
        <v>100</v>
      </c>
      <c r="D37" s="1">
        <f t="shared" si="0"/>
        <v>3.3333333333333321</v>
      </c>
      <c r="E37" s="1">
        <v>1.645</v>
      </c>
      <c r="F37" s="1" t="str">
        <f t="shared" si="1"/>
        <v>H₀ Ditolak (PSR &gt; 90%)</v>
      </c>
    </row>
    <row r="38" spans="1:6" ht="15" thickBot="1">
      <c r="A38" s="3">
        <v>225</v>
      </c>
      <c r="B38" s="4">
        <v>1</v>
      </c>
      <c r="C38" s="1">
        <v>100</v>
      </c>
      <c r="D38" s="1">
        <f t="shared" si="0"/>
        <v>3.3333333333333321</v>
      </c>
      <c r="E38" s="1">
        <v>1.645</v>
      </c>
      <c r="F38" s="1" t="str">
        <f t="shared" si="1"/>
        <v>H₀ Ditolak (PSR &gt; 90%)</v>
      </c>
    </row>
    <row r="39" spans="1:6" ht="15" thickBot="1">
      <c r="A39" s="3">
        <v>250</v>
      </c>
      <c r="B39" s="4">
        <v>0.95</v>
      </c>
      <c r="C39" s="1">
        <v>100</v>
      </c>
      <c r="D39" s="1">
        <f t="shared" si="0"/>
        <v>1.6666666666666643</v>
      </c>
      <c r="E39" s="1">
        <v>1.645</v>
      </c>
      <c r="F39" s="1" t="str">
        <f t="shared" si="1"/>
        <v>H₀ Ditolak (PSR &gt; 90%)</v>
      </c>
    </row>
    <row r="40" spans="1:6" ht="15" thickBot="1">
      <c r="A40" s="3">
        <v>275</v>
      </c>
      <c r="B40" s="4">
        <v>0.93</v>
      </c>
      <c r="C40" s="1">
        <v>100</v>
      </c>
      <c r="D40" s="1">
        <f t="shared" si="0"/>
        <v>1.0000000000000009</v>
      </c>
      <c r="E40" s="1">
        <v>1.645</v>
      </c>
      <c r="F40" s="1" t="str">
        <f t="shared" si="1"/>
        <v>Gagal Tolak H₀</v>
      </c>
    </row>
    <row r="41" spans="1:6" ht="15" thickBot="1">
      <c r="A41" s="3">
        <v>300</v>
      </c>
      <c r="B41" s="4">
        <v>1</v>
      </c>
      <c r="C41" s="1">
        <v>100</v>
      </c>
      <c r="D41" s="1">
        <f t="shared" si="0"/>
        <v>3.3333333333333321</v>
      </c>
      <c r="E41" s="1">
        <v>1.645</v>
      </c>
      <c r="F41" s="1" t="str">
        <f t="shared" si="1"/>
        <v>H₀ Ditolak (PSR &gt; 90%)</v>
      </c>
    </row>
    <row r="42" spans="1:6" ht="15" thickBot="1">
      <c r="A42" s="3">
        <v>325</v>
      </c>
      <c r="B42" s="4">
        <v>0.84</v>
      </c>
      <c r="C42" s="1">
        <v>100</v>
      </c>
      <c r="D42" s="1">
        <f t="shared" si="0"/>
        <v>-2.0000000000000018</v>
      </c>
      <c r="E42" s="1">
        <v>1.645</v>
      </c>
      <c r="F42" s="1" t="str">
        <f t="shared" si="1"/>
        <v>Gagal Tolak H₀</v>
      </c>
    </row>
    <row r="43" spans="1:6" ht="15" thickBot="1">
      <c r="A43" s="3">
        <v>350</v>
      </c>
      <c r="B43" s="4">
        <v>1</v>
      </c>
      <c r="C43" s="1">
        <v>100</v>
      </c>
      <c r="D43" s="1">
        <f t="shared" si="0"/>
        <v>3.3333333333333321</v>
      </c>
      <c r="E43" s="1">
        <v>1.645</v>
      </c>
      <c r="F43" s="1" t="str">
        <f t="shared" si="1"/>
        <v>H₀ Ditolak (PSR &gt; 90%)</v>
      </c>
    </row>
    <row r="44" spans="1:6" ht="15" thickBot="1">
      <c r="A44" s="3">
        <v>375</v>
      </c>
      <c r="B44" s="4">
        <v>1</v>
      </c>
      <c r="C44" s="1">
        <v>100</v>
      </c>
      <c r="D44" s="1">
        <f t="shared" si="0"/>
        <v>3.3333333333333321</v>
      </c>
      <c r="E44" s="1">
        <v>1.645</v>
      </c>
      <c r="F44" s="1" t="str">
        <f t="shared" si="1"/>
        <v>H₀ Ditolak (PSR &gt; 90%)</v>
      </c>
    </row>
    <row r="45" spans="1:6" ht="15" thickBot="1">
      <c r="A45" s="3">
        <v>400</v>
      </c>
      <c r="B45" s="4">
        <v>0.93</v>
      </c>
      <c r="C45" s="1">
        <v>100</v>
      </c>
      <c r="D45" s="1">
        <f t="shared" si="0"/>
        <v>1.0000000000000009</v>
      </c>
      <c r="E45" s="1">
        <v>1.645</v>
      </c>
      <c r="F45" s="1" t="str">
        <f t="shared" si="1"/>
        <v>Gagal Tolak H₀</v>
      </c>
    </row>
    <row r="46" spans="1:6" ht="15" thickBot="1">
      <c r="A46" s="3">
        <v>425</v>
      </c>
      <c r="B46" s="4">
        <v>0.91</v>
      </c>
      <c r="C46" s="1">
        <v>100</v>
      </c>
      <c r="D46" s="1">
        <f t="shared" si="0"/>
        <v>0.33333333333333359</v>
      </c>
      <c r="E46" s="1">
        <v>1.645</v>
      </c>
      <c r="F46" s="1" t="str">
        <f t="shared" si="1"/>
        <v>Gagal Tolak H₀</v>
      </c>
    </row>
    <row r="47" spans="1:6" ht="15" thickBot="1">
      <c r="A47" s="3">
        <v>450</v>
      </c>
      <c r="B47" s="4">
        <v>1</v>
      </c>
      <c r="C47" s="1">
        <v>100</v>
      </c>
      <c r="D47" s="1">
        <f t="shared" si="0"/>
        <v>3.3333333333333321</v>
      </c>
      <c r="E47" s="1">
        <v>1.645</v>
      </c>
      <c r="F47" s="1" t="str">
        <f t="shared" si="1"/>
        <v>H₀ Ditolak (PSR &gt; 90%)</v>
      </c>
    </row>
    <row r="48" spans="1:6" ht="15" thickBot="1">
      <c r="A48" s="3">
        <v>475</v>
      </c>
      <c r="B48" s="4">
        <v>0.94</v>
      </c>
      <c r="C48" s="1">
        <v>100</v>
      </c>
      <c r="D48" s="1">
        <f t="shared" si="0"/>
        <v>1.3333333333333308</v>
      </c>
      <c r="E48" s="1">
        <v>1.645</v>
      </c>
      <c r="F48" s="1" t="str">
        <f t="shared" si="1"/>
        <v>Gagal Tolak H₀</v>
      </c>
    </row>
    <row r="49" spans="1:6" ht="15" thickBot="1">
      <c r="A49" s="3">
        <v>500</v>
      </c>
      <c r="B49" s="4">
        <v>0.88</v>
      </c>
      <c r="C49" s="1">
        <v>100</v>
      </c>
      <c r="D49" s="1">
        <f>(B49-0.9)/SQRT(0.9*0.1/100)</f>
        <v>-0.66666666666666718</v>
      </c>
      <c r="E49" s="1">
        <v>1.645</v>
      </c>
      <c r="F49" s="1" t="str">
        <f t="shared" si="1"/>
        <v>Gagal Tolak H₀</v>
      </c>
    </row>
    <row r="53" spans="1:6">
      <c r="A53" s="1" t="s">
        <v>17</v>
      </c>
      <c r="B53" s="1" t="s">
        <v>18</v>
      </c>
      <c r="C53" s="1" t="s">
        <v>19</v>
      </c>
      <c r="D53" s="1" t="s">
        <v>20</v>
      </c>
      <c r="E53" s="1" t="s">
        <v>21</v>
      </c>
      <c r="F53" s="1" t="s">
        <v>22</v>
      </c>
    </row>
    <row r="54" spans="1:6">
      <c r="A54" s="1">
        <v>50</v>
      </c>
      <c r="B54" s="1">
        <v>1</v>
      </c>
      <c r="C54" s="1">
        <v>100</v>
      </c>
      <c r="D54" s="1">
        <v>3.3333333333333321</v>
      </c>
      <c r="E54" s="1">
        <v>1.645</v>
      </c>
      <c r="F54" s="1" t="s">
        <v>46</v>
      </c>
    </row>
    <row r="55" spans="1:6">
      <c r="A55" s="1">
        <v>100</v>
      </c>
      <c r="B55" s="1">
        <v>1</v>
      </c>
      <c r="C55" s="1">
        <v>100</v>
      </c>
      <c r="D55" s="1">
        <v>3.3333333333333321</v>
      </c>
      <c r="E55" s="1">
        <v>1.645</v>
      </c>
      <c r="F55" s="1" t="s">
        <v>46</v>
      </c>
    </row>
    <row r="56" spans="1:6">
      <c r="A56" s="1">
        <v>150</v>
      </c>
      <c r="B56" s="1">
        <v>0.99</v>
      </c>
      <c r="C56" s="1">
        <v>100</v>
      </c>
      <c r="D56" s="1">
        <v>2.9999999999999987</v>
      </c>
      <c r="E56" s="1">
        <v>1.645</v>
      </c>
      <c r="F56" s="1" t="s">
        <v>46</v>
      </c>
    </row>
    <row r="57" spans="1:6">
      <c r="A57" s="1">
        <v>200</v>
      </c>
      <c r="B57" s="1">
        <v>1</v>
      </c>
      <c r="C57" s="1">
        <v>100</v>
      </c>
      <c r="D57" s="1">
        <v>3.3333333333333321</v>
      </c>
      <c r="E57" s="1">
        <v>1.645</v>
      </c>
      <c r="F57" s="1" t="s">
        <v>46</v>
      </c>
    </row>
    <row r="58" spans="1:6">
      <c r="A58" s="1">
        <v>250</v>
      </c>
      <c r="B58" s="1">
        <v>0.95</v>
      </c>
      <c r="C58" s="1">
        <v>100</v>
      </c>
      <c r="D58" s="1">
        <v>1.6666666666666643</v>
      </c>
      <c r="E58" s="1">
        <v>1.645</v>
      </c>
      <c r="F58" s="1" t="s">
        <v>46</v>
      </c>
    </row>
    <row r="59" spans="1:6">
      <c r="A59" s="1">
        <v>300</v>
      </c>
      <c r="B59" s="1">
        <v>1</v>
      </c>
      <c r="C59" s="1">
        <v>100</v>
      </c>
      <c r="D59" s="1">
        <v>3.3333333333333321</v>
      </c>
      <c r="E59" s="1">
        <v>1.645</v>
      </c>
      <c r="F59" s="1" t="s">
        <v>46</v>
      </c>
    </row>
    <row r="60" spans="1:6">
      <c r="A60" s="1">
        <v>350</v>
      </c>
      <c r="B60" s="1">
        <v>1</v>
      </c>
      <c r="C60" s="1">
        <v>100</v>
      </c>
      <c r="D60" s="1">
        <v>3.3333333333333321</v>
      </c>
      <c r="E60" s="1">
        <v>1.645</v>
      </c>
      <c r="F60" s="1" t="s">
        <v>46</v>
      </c>
    </row>
    <row r="61" spans="1:6">
      <c r="A61" s="1">
        <v>400</v>
      </c>
      <c r="B61" s="1">
        <v>0.93</v>
      </c>
      <c r="C61" s="1">
        <v>100</v>
      </c>
      <c r="D61" s="1">
        <v>1.0000000000000009</v>
      </c>
      <c r="E61" s="1">
        <v>1.645</v>
      </c>
      <c r="F61" s="1" t="s">
        <v>47</v>
      </c>
    </row>
    <row r="62" spans="1:6">
      <c r="A62" s="1">
        <v>450</v>
      </c>
      <c r="B62" s="1">
        <v>1</v>
      </c>
      <c r="C62" s="1">
        <v>100</v>
      </c>
      <c r="D62" s="1">
        <v>3.3333333333333321</v>
      </c>
      <c r="E62" s="1">
        <v>1.645</v>
      </c>
      <c r="F62" s="1" t="s">
        <v>46</v>
      </c>
    </row>
    <row r="63" spans="1:6">
      <c r="A63" s="1">
        <v>500</v>
      </c>
      <c r="B63" s="1">
        <v>0.88</v>
      </c>
      <c r="C63" s="1">
        <v>100</v>
      </c>
      <c r="D63" s="1">
        <v>-0.66666666666666718</v>
      </c>
      <c r="E63" s="1">
        <v>1.645</v>
      </c>
      <c r="F63" s="1" t="s">
        <v>47</v>
      </c>
    </row>
    <row r="70" spans="1:10" ht="28.8">
      <c r="A70" s="7" t="s">
        <v>8</v>
      </c>
      <c r="B70" s="7" t="s">
        <v>9</v>
      </c>
      <c r="C70" s="7" t="s">
        <v>10</v>
      </c>
      <c r="D70" s="7" t="s">
        <v>11</v>
      </c>
      <c r="E70" s="7"/>
      <c r="F70" s="7" t="s">
        <v>12</v>
      </c>
      <c r="G70" s="7" t="s">
        <v>13</v>
      </c>
      <c r="H70" s="7" t="s">
        <v>14</v>
      </c>
      <c r="I70" s="7" t="s">
        <v>15</v>
      </c>
      <c r="J70" s="1"/>
    </row>
    <row r="71" spans="1:10">
      <c r="A71" s="1">
        <v>2</v>
      </c>
      <c r="B71" s="1">
        <v>50</v>
      </c>
      <c r="C71" s="1">
        <v>100</v>
      </c>
      <c r="D71" s="1">
        <v>1</v>
      </c>
      <c r="E71" s="1">
        <v>100</v>
      </c>
      <c r="F71" s="9">
        <v>-90.66</v>
      </c>
      <c r="G71" s="9">
        <v>1.49</v>
      </c>
      <c r="H71" s="9">
        <v>5.83</v>
      </c>
      <c r="I71" s="9">
        <v>1.53</v>
      </c>
      <c r="J71" s="9"/>
    </row>
    <row r="72" spans="1:10">
      <c r="A72" s="1">
        <v>4</v>
      </c>
      <c r="B72" s="1">
        <v>100</v>
      </c>
      <c r="C72" s="1">
        <v>100</v>
      </c>
      <c r="D72" s="1">
        <v>1</v>
      </c>
      <c r="E72" s="1">
        <v>100</v>
      </c>
      <c r="F72" s="9">
        <v>-97.36</v>
      </c>
      <c r="G72" s="9">
        <v>0.67</v>
      </c>
      <c r="H72" s="9">
        <v>-5.77</v>
      </c>
      <c r="I72" s="9">
        <v>1.97</v>
      </c>
      <c r="J72" s="9"/>
    </row>
    <row r="73" spans="1:10">
      <c r="A73" s="1">
        <v>8</v>
      </c>
      <c r="B73" s="1">
        <v>150</v>
      </c>
      <c r="C73" s="1">
        <v>99</v>
      </c>
      <c r="D73" s="1">
        <v>0.99</v>
      </c>
      <c r="E73" s="1">
        <v>99</v>
      </c>
      <c r="F73" s="9">
        <v>-98.54</v>
      </c>
      <c r="G73" s="9">
        <v>0.69</v>
      </c>
      <c r="H73" s="9">
        <v>-6.09</v>
      </c>
      <c r="I73" s="9">
        <v>1.5</v>
      </c>
      <c r="J73" s="9"/>
    </row>
    <row r="74" spans="1:10">
      <c r="A74" s="1">
        <v>32</v>
      </c>
      <c r="B74" s="1">
        <v>200</v>
      </c>
      <c r="C74" s="1">
        <v>100</v>
      </c>
      <c r="D74" s="1">
        <v>1</v>
      </c>
      <c r="E74" s="1">
        <v>100</v>
      </c>
      <c r="F74" s="9">
        <v>-97.6</v>
      </c>
      <c r="G74" s="9">
        <v>0.61081912216301859</v>
      </c>
      <c r="H74" s="9">
        <v>-62.727499999999999</v>
      </c>
      <c r="I74" s="9">
        <v>24.986298620443964</v>
      </c>
      <c r="J74" s="9"/>
    </row>
    <row r="75" spans="1:10">
      <c r="A75" s="1">
        <v>30</v>
      </c>
      <c r="B75" s="1">
        <v>250</v>
      </c>
      <c r="C75" s="1">
        <v>95</v>
      </c>
      <c r="D75" s="1">
        <v>0.95</v>
      </c>
      <c r="E75" s="1">
        <v>95</v>
      </c>
      <c r="F75" s="9">
        <v>-97.5</v>
      </c>
      <c r="G75" s="9">
        <v>0.79290482464279866</v>
      </c>
      <c r="H75" s="9">
        <v>-14.842105263157896</v>
      </c>
      <c r="I75" s="9">
        <v>1.1315177462029922</v>
      </c>
      <c r="J75" s="9"/>
    </row>
    <row r="76" spans="1:10">
      <c r="A76" s="1">
        <v>17</v>
      </c>
      <c r="B76" s="1">
        <v>300</v>
      </c>
      <c r="C76" s="1">
        <v>100</v>
      </c>
      <c r="D76" s="1">
        <v>1</v>
      </c>
      <c r="E76" s="1">
        <v>100</v>
      </c>
      <c r="F76" s="9">
        <v>-101.12</v>
      </c>
      <c r="G76" s="9">
        <v>0.64</v>
      </c>
      <c r="H76" s="9">
        <v>-9.08</v>
      </c>
      <c r="I76" s="9">
        <v>1.89</v>
      </c>
      <c r="J76" s="9"/>
    </row>
    <row r="77" spans="1:10">
      <c r="A77" s="1">
        <v>19</v>
      </c>
      <c r="B77" s="1">
        <v>350</v>
      </c>
      <c r="C77" s="1">
        <v>100</v>
      </c>
      <c r="D77" s="1">
        <v>1</v>
      </c>
      <c r="E77" s="1">
        <v>100</v>
      </c>
      <c r="F77" s="9">
        <v>-102.43</v>
      </c>
      <c r="G77" s="9">
        <v>0.74</v>
      </c>
      <c r="H77" s="9">
        <v>-10.16</v>
      </c>
      <c r="I77" s="9">
        <v>2.0299999999999998</v>
      </c>
      <c r="J77" s="9"/>
    </row>
    <row r="78" spans="1:10">
      <c r="A78" s="1">
        <v>21</v>
      </c>
      <c r="B78" s="1">
        <v>400</v>
      </c>
      <c r="C78" s="1">
        <v>93</v>
      </c>
      <c r="D78" s="1">
        <v>0.93</v>
      </c>
      <c r="E78" s="1">
        <v>93</v>
      </c>
      <c r="F78" s="9">
        <v>-102.51</v>
      </c>
      <c r="G78" s="9">
        <v>0.75</v>
      </c>
      <c r="H78" s="9">
        <v>-14.41</v>
      </c>
      <c r="I78" s="9">
        <v>1.55</v>
      </c>
      <c r="J78" s="9"/>
    </row>
    <row r="79" spans="1:10">
      <c r="A79" s="1">
        <v>23</v>
      </c>
      <c r="B79" s="1">
        <v>450</v>
      </c>
      <c r="C79" s="1">
        <v>100</v>
      </c>
      <c r="D79" s="1">
        <v>1</v>
      </c>
      <c r="E79" s="1">
        <v>100</v>
      </c>
      <c r="F79" s="9">
        <v>-100.83</v>
      </c>
      <c r="G79" s="9">
        <v>0.56999999999999995</v>
      </c>
      <c r="H79" s="9">
        <v>-12.69</v>
      </c>
      <c r="I79" s="9">
        <v>0.98</v>
      </c>
      <c r="J79" s="9"/>
    </row>
    <row r="80" spans="1:10">
      <c r="A80" s="1">
        <v>27</v>
      </c>
      <c r="B80" s="1">
        <v>500</v>
      </c>
      <c r="C80" s="1">
        <v>88</v>
      </c>
      <c r="D80" s="1">
        <v>0.88</v>
      </c>
      <c r="E80" s="1">
        <v>88</v>
      </c>
      <c r="F80" s="9">
        <v>-101.05</v>
      </c>
      <c r="G80" s="9">
        <v>0.45</v>
      </c>
      <c r="H80" s="1">
        <v>-16.420000000000002</v>
      </c>
      <c r="I80" s="9">
        <v>0.76</v>
      </c>
      <c r="J80" s="9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4E4F7-6176-4894-AFEB-23C32A1B5EE7}">
  <dimension ref="A1:P36"/>
  <sheetViews>
    <sheetView workbookViewId="0">
      <selection activeCell="I11" sqref="I11"/>
    </sheetView>
  </sheetViews>
  <sheetFormatPr defaultRowHeight="14.4"/>
  <cols>
    <col min="1" max="1" width="9.88671875" customWidth="1"/>
    <col min="2" max="2" width="17.77734375" customWidth="1"/>
    <col min="7" max="7" width="14" customWidth="1"/>
    <col min="10" max="10" width="27.44140625" customWidth="1"/>
    <col min="11" max="11" width="15" customWidth="1"/>
    <col min="14" max="14" width="25.88671875" customWidth="1"/>
  </cols>
  <sheetData>
    <row r="1" spans="1:16">
      <c r="A1" t="s">
        <v>23</v>
      </c>
      <c r="B1" t="s">
        <v>24</v>
      </c>
      <c r="C1" t="s">
        <v>1</v>
      </c>
      <c r="D1" t="s">
        <v>25</v>
      </c>
      <c r="E1" t="s">
        <v>26</v>
      </c>
      <c r="F1" t="s">
        <v>27</v>
      </c>
      <c r="J1" t="s">
        <v>115</v>
      </c>
      <c r="N1" t="s">
        <v>115</v>
      </c>
    </row>
    <row r="2" spans="1:16" ht="15" thickBot="1">
      <c r="A2">
        <v>100</v>
      </c>
      <c r="B2" t="s">
        <v>28</v>
      </c>
      <c r="C2">
        <v>1</v>
      </c>
      <c r="D2">
        <v>28770</v>
      </c>
      <c r="E2">
        <v>-108</v>
      </c>
      <c r="F2">
        <v>375</v>
      </c>
    </row>
    <row r="3" spans="1:16">
      <c r="A3">
        <v>100</v>
      </c>
      <c r="B3" t="s">
        <v>28</v>
      </c>
      <c r="C3">
        <v>2</v>
      </c>
      <c r="D3">
        <v>28831.8</v>
      </c>
      <c r="E3">
        <v>-110</v>
      </c>
      <c r="F3">
        <v>30</v>
      </c>
      <c r="J3" s="15"/>
      <c r="K3" s="15">
        <v>28770</v>
      </c>
      <c r="L3" s="15">
        <v>28660.799999999999</v>
      </c>
      <c r="N3" s="15"/>
      <c r="O3" s="15">
        <v>-108</v>
      </c>
      <c r="P3" s="15">
        <v>-109</v>
      </c>
    </row>
    <row r="4" spans="1:16">
      <c r="A4">
        <v>100</v>
      </c>
      <c r="B4" t="s">
        <v>28</v>
      </c>
      <c r="C4">
        <v>3</v>
      </c>
      <c r="D4">
        <v>28708.2</v>
      </c>
      <c r="E4">
        <v>-107</v>
      </c>
      <c r="F4">
        <v>525</v>
      </c>
      <c r="J4" t="s">
        <v>116</v>
      </c>
      <c r="K4">
        <v>28640.25</v>
      </c>
      <c r="L4">
        <v>32292.75</v>
      </c>
      <c r="N4" t="s">
        <v>116</v>
      </c>
      <c r="O4">
        <v>-108.5</v>
      </c>
      <c r="P4">
        <v>-111.5</v>
      </c>
    </row>
    <row r="5" spans="1:16">
      <c r="A5">
        <v>100</v>
      </c>
      <c r="B5" t="s">
        <v>28</v>
      </c>
      <c r="C5">
        <v>4</v>
      </c>
      <c r="D5">
        <v>28583.4</v>
      </c>
      <c r="E5">
        <v>-109</v>
      </c>
      <c r="F5">
        <v>30</v>
      </c>
      <c r="J5" t="s">
        <v>117</v>
      </c>
      <c r="K5">
        <v>28535.850000000082</v>
      </c>
      <c r="L5">
        <v>18292.410000000153</v>
      </c>
      <c r="N5" t="s">
        <v>117</v>
      </c>
      <c r="O5">
        <v>1.6666666666666667</v>
      </c>
      <c r="P5">
        <v>3</v>
      </c>
    </row>
    <row r="6" spans="1:16">
      <c r="A6">
        <v>100</v>
      </c>
      <c r="B6" t="s">
        <v>28</v>
      </c>
      <c r="C6">
        <v>5</v>
      </c>
      <c r="D6">
        <v>28437.599999999999</v>
      </c>
      <c r="E6">
        <v>-108</v>
      </c>
      <c r="F6">
        <v>40</v>
      </c>
      <c r="J6" t="s">
        <v>118</v>
      </c>
      <c r="K6">
        <v>4</v>
      </c>
      <c r="L6">
        <v>4</v>
      </c>
      <c r="N6" t="s">
        <v>118</v>
      </c>
      <c r="O6">
        <v>4</v>
      </c>
      <c r="P6">
        <v>4</v>
      </c>
    </row>
    <row r="7" spans="1:16">
      <c r="A7">
        <v>100</v>
      </c>
      <c r="B7" t="s">
        <v>29</v>
      </c>
      <c r="C7">
        <v>1</v>
      </c>
      <c r="D7">
        <v>28660.799999999999</v>
      </c>
      <c r="E7">
        <v>-109</v>
      </c>
      <c r="F7">
        <v>425</v>
      </c>
      <c r="J7" t="s">
        <v>119</v>
      </c>
      <c r="K7">
        <v>23414.130000000121</v>
      </c>
      <c r="N7" t="s">
        <v>119</v>
      </c>
      <c r="O7">
        <v>2.3333333333333335</v>
      </c>
    </row>
    <row r="8" spans="1:16">
      <c r="A8">
        <v>100</v>
      </c>
      <c r="B8" t="s">
        <v>29</v>
      </c>
      <c r="C8">
        <v>2</v>
      </c>
      <c r="D8">
        <v>32259</v>
      </c>
      <c r="E8">
        <v>-113</v>
      </c>
      <c r="F8">
        <v>-60</v>
      </c>
      <c r="J8" t="s">
        <v>120</v>
      </c>
      <c r="K8">
        <v>0</v>
      </c>
      <c r="N8" t="s">
        <v>120</v>
      </c>
      <c r="O8">
        <v>0</v>
      </c>
    </row>
    <row r="9" spans="1:16">
      <c r="A9">
        <v>100</v>
      </c>
      <c r="B9" t="s">
        <v>29</v>
      </c>
      <c r="C9">
        <v>3</v>
      </c>
      <c r="D9">
        <v>32488.2</v>
      </c>
      <c r="E9">
        <v>-112</v>
      </c>
      <c r="F9">
        <v>-275</v>
      </c>
      <c r="J9" t="s">
        <v>33</v>
      </c>
      <c r="K9">
        <v>6</v>
      </c>
      <c r="N9" t="s">
        <v>33</v>
      </c>
      <c r="O9">
        <v>6</v>
      </c>
    </row>
    <row r="10" spans="1:16">
      <c r="A10">
        <v>100</v>
      </c>
      <c r="B10" t="s">
        <v>29</v>
      </c>
      <c r="C10">
        <v>4</v>
      </c>
      <c r="D10">
        <v>32176.799999999999</v>
      </c>
      <c r="E10">
        <v>-109</v>
      </c>
      <c r="F10">
        <v>375</v>
      </c>
      <c r="J10" t="s">
        <v>121</v>
      </c>
      <c r="K10">
        <v>-33.757183910522841</v>
      </c>
      <c r="N10" t="s">
        <v>121</v>
      </c>
      <c r="O10">
        <v>2.7774602993176543</v>
      </c>
    </row>
    <row r="11" spans="1:16">
      <c r="A11">
        <v>100</v>
      </c>
      <c r="B11" t="s">
        <v>29</v>
      </c>
      <c r="C11">
        <v>5</v>
      </c>
      <c r="D11">
        <v>32247</v>
      </c>
      <c r="E11">
        <v>-112</v>
      </c>
      <c r="F11">
        <v>-15</v>
      </c>
      <c r="J11" t="s">
        <v>122</v>
      </c>
      <c r="K11">
        <v>2.249517460838516E-8</v>
      </c>
      <c r="N11" t="s">
        <v>122</v>
      </c>
      <c r="O11">
        <v>1.6052246093750003E-2</v>
      </c>
    </row>
    <row r="12" spans="1:16">
      <c r="J12" t="s">
        <v>123</v>
      </c>
      <c r="K12">
        <v>1.9431802805153031</v>
      </c>
      <c r="N12" t="s">
        <v>123</v>
      </c>
      <c r="O12">
        <v>1.9431802805153031</v>
      </c>
    </row>
    <row r="13" spans="1:16">
      <c r="J13" t="s">
        <v>124</v>
      </c>
      <c r="K13">
        <v>4.4990349216770319E-8</v>
      </c>
      <c r="N13" t="s">
        <v>124</v>
      </c>
      <c r="O13">
        <v>3.2104492187500007E-2</v>
      </c>
    </row>
    <row r="14" spans="1:16" ht="15" thickBot="1">
      <c r="J14" s="14" t="s">
        <v>125</v>
      </c>
      <c r="K14" s="14">
        <v>2.4469118511449697</v>
      </c>
      <c r="L14" s="14"/>
      <c r="N14" s="14" t="s">
        <v>125</v>
      </c>
      <c r="O14" s="14">
        <v>2.4469118511449697</v>
      </c>
      <c r="P14" s="14"/>
    </row>
    <row r="17" spans="1:7" ht="28.8">
      <c r="A17" s="2" t="s">
        <v>23</v>
      </c>
      <c r="B17" s="2" t="s">
        <v>24</v>
      </c>
      <c r="C17" s="2" t="s">
        <v>30</v>
      </c>
      <c r="D17" s="2" t="s">
        <v>31</v>
      </c>
      <c r="E17" s="2" t="s">
        <v>12</v>
      </c>
      <c r="F17" s="2" t="s">
        <v>13</v>
      </c>
      <c r="G17" s="2"/>
    </row>
    <row r="18" spans="1:7">
      <c r="A18">
        <v>100</v>
      </c>
      <c r="B18" t="s">
        <v>28</v>
      </c>
      <c r="C18">
        <f>AVERAGE(D2:D6)</f>
        <v>28666.2</v>
      </c>
      <c r="D18">
        <f>_xlfn.STDEV.P(D2:D6)</f>
        <v>140.76618912224643</v>
      </c>
      <c r="E18">
        <f>AVERAGE(E2:E6)</f>
        <v>-108.4</v>
      </c>
      <c r="F18">
        <f>_xlfn.STDEV.P(E2:E6)</f>
        <v>1.019803902718557</v>
      </c>
    </row>
    <row r="19" spans="1:7">
      <c r="A19">
        <v>100</v>
      </c>
      <c r="B19" t="s">
        <v>29</v>
      </c>
      <c r="C19">
        <f>AVERAGE(D7:D11)</f>
        <v>31566.359999999997</v>
      </c>
      <c r="D19">
        <f>_xlfn.STDEV.P(D7:D11)</f>
        <v>1456.5524962733068</v>
      </c>
      <c r="E19">
        <f>AVERAGE(E7:E11)</f>
        <v>-111</v>
      </c>
      <c r="F19">
        <f>_xlfn.STDEV.P(E7:E11)</f>
        <v>1.6733200530681511</v>
      </c>
    </row>
    <row r="28" spans="1:7">
      <c r="A28" s="2"/>
      <c r="B28" s="2"/>
      <c r="C28" s="2"/>
      <c r="D28" s="2"/>
      <c r="E28" s="2"/>
      <c r="F28" s="2"/>
      <c r="G28" s="2"/>
    </row>
    <row r="36" spans="1:6">
      <c r="A36" s="2"/>
      <c r="B36" s="2"/>
      <c r="C36" s="2"/>
      <c r="D36" s="2"/>
      <c r="E36" s="2"/>
      <c r="F36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B8E7C-C9BE-417F-9B16-080701918FE5}">
  <dimension ref="A1:I6"/>
  <sheetViews>
    <sheetView tabSelected="1" workbookViewId="0">
      <selection activeCell="H19" sqref="H19"/>
    </sheetView>
  </sheetViews>
  <sheetFormatPr defaultRowHeight="14.4"/>
  <cols>
    <col min="8" max="8" width="61.44140625" customWidth="1"/>
    <col min="9" max="9" width="28.33203125" customWidth="1"/>
  </cols>
  <sheetData>
    <row r="1" spans="1:9" ht="28.8">
      <c r="A1" s="2" t="s">
        <v>34</v>
      </c>
      <c r="B1" s="2" t="s">
        <v>35</v>
      </c>
      <c r="C1" s="2" t="s">
        <v>36</v>
      </c>
      <c r="D1" s="2" t="s">
        <v>37</v>
      </c>
      <c r="E1" s="2" t="s">
        <v>38</v>
      </c>
      <c r="H1" s="2" t="s">
        <v>32</v>
      </c>
      <c r="I1" s="2" t="s">
        <v>39</v>
      </c>
    </row>
    <row r="2" spans="1:9">
      <c r="A2">
        <v>1</v>
      </c>
      <c r="B2">
        <v>-7.7778419999999997</v>
      </c>
      <c r="C2">
        <v>110.41459999999999</v>
      </c>
      <c r="D2">
        <v>96</v>
      </c>
      <c r="E2">
        <v>0.3886</v>
      </c>
      <c r="H2" s="7" t="s">
        <v>40</v>
      </c>
      <c r="I2" s="7">
        <v>3</v>
      </c>
    </row>
    <row r="3" spans="1:9">
      <c r="A3">
        <v>2</v>
      </c>
      <c r="B3">
        <v>-7777761</v>
      </c>
      <c r="C3">
        <v>110.41459999999999</v>
      </c>
      <c r="D3">
        <v>180</v>
      </c>
      <c r="E3">
        <v>0.62380000000000002</v>
      </c>
      <c r="H3" s="7" t="s">
        <v>42</v>
      </c>
      <c r="I3">
        <v>246</v>
      </c>
    </row>
    <row r="4" spans="1:9">
      <c r="A4">
        <v>3</v>
      </c>
      <c r="B4">
        <v>-7.7777370000000001</v>
      </c>
      <c r="C4">
        <v>110.41459999999999</v>
      </c>
      <c r="D4">
        <v>246</v>
      </c>
      <c r="E4">
        <v>0.80859999999999999</v>
      </c>
      <c r="H4" s="7" t="s">
        <v>43</v>
      </c>
      <c r="I4">
        <v>0.80859999999999999</v>
      </c>
    </row>
    <row r="5" spans="1:9">
      <c r="A5">
        <v>4</v>
      </c>
      <c r="B5">
        <v>-7.7778229999999997</v>
      </c>
      <c r="C5">
        <v>110.4145</v>
      </c>
      <c r="D5">
        <v>54</v>
      </c>
      <c r="E5">
        <v>0.27100000000000002</v>
      </c>
      <c r="H5" s="7" t="s">
        <v>126</v>
      </c>
      <c r="I5" s="7" t="s">
        <v>41</v>
      </c>
    </row>
    <row r="6" spans="1:9" ht="28.8">
      <c r="H6" s="7" t="s">
        <v>44</v>
      </c>
      <c r="I6" s="7" t="s">
        <v>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7815CE0-F729-4CF2-9D1B-D64E965E520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Kalibrasi Sistem</vt:lpstr>
      <vt:lpstr>Komunikasi Lora</vt:lpstr>
      <vt:lpstr>Efek Fisis</vt:lpstr>
      <vt:lpstr>Sumber Hilang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Luthfi A.</dc:creator>
  <cp:lastModifiedBy>M. Luthfi A.</cp:lastModifiedBy>
  <dcterms:created xsi:type="dcterms:W3CDTF">2026-06-27T17:10:23Z</dcterms:created>
  <dcterms:modified xsi:type="dcterms:W3CDTF">2026-08-08T03:56:27Z</dcterms:modified>
</cp:coreProperties>
</file>